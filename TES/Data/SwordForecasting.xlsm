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fan\source\repos\TES\TES\Data\"/>
    </mc:Choice>
  </mc:AlternateContent>
  <xr:revisionPtr revIDLastSave="0" documentId="13_ncr:1_{7AABBEFE-9363-4FBF-B0C4-1B3A5CD45A7F}" xr6:coauthVersionLast="44" xr6:coauthVersionMax="44" xr10:uidLastSave="{00000000-0000-0000-0000-000000000000}"/>
  <bookViews>
    <workbookView xWindow="5730" yWindow="1230" windowWidth="21600" windowHeight="10080" tabRatio="953" activeTab="5" xr2:uid="{00000000-000D-0000-FFFF-FFFF00000000}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53" i="7" l="1"/>
  <c r="K46" i="7"/>
  <c r="K47" i="7"/>
  <c r="K48" i="7"/>
  <c r="K49" i="7"/>
  <c r="K50" i="7"/>
  <c r="K51" i="7"/>
  <c r="K52" i="7"/>
  <c r="N54" i="7"/>
  <c r="M54" i="7"/>
  <c r="L54" i="7"/>
  <c r="K54" i="7"/>
  <c r="B41" i="2" l="1"/>
  <c r="B40" i="2"/>
  <c r="B39" i="2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4" i="6" s="1"/>
  <c r="H5" i="6" s="1"/>
  <c r="I6" i="6" s="1"/>
  <c r="J7" i="6" s="1"/>
  <c r="K8" i="6" s="1"/>
  <c r="L9" i="6" s="1"/>
  <c r="M10" i="6" s="1"/>
  <c r="N11" i="6" s="1"/>
  <c r="O12" i="6" s="1"/>
  <c r="G3" i="6"/>
  <c r="H4" i="6" s="1"/>
  <c r="I5" i="6" s="1"/>
  <c r="J6" i="6" s="1"/>
  <c r="K7" i="6" s="1"/>
  <c r="L8" i="6" s="1"/>
  <c r="M9" i="6" s="1"/>
  <c r="N10" i="6" s="1"/>
  <c r="O11" i="6" s="1"/>
  <c r="H3" i="6"/>
  <c r="I4" i="6" s="1"/>
  <c r="J5" i="6" s="1"/>
  <c r="K6" i="6" s="1"/>
  <c r="L7" i="6" s="1"/>
  <c r="M8" i="6" s="1"/>
  <c r="N9" i="6" s="1"/>
  <c r="O10" i="6" s="1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L3" i="6"/>
  <c r="M4" i="6" s="1"/>
  <c r="N5" i="6" s="1"/>
  <c r="O6" i="6" s="1"/>
  <c r="M3" i="6"/>
  <c r="N4" i="6" s="1"/>
  <c r="O5" i="6" s="1"/>
  <c r="N3" i="6"/>
  <c r="O4" i="6" s="1"/>
  <c r="O3" i="6"/>
  <c r="K4" i="6"/>
  <c r="L5" i="6" s="1"/>
  <c r="M6" i="6" s="1"/>
  <c r="N7" i="6" s="1"/>
  <c r="O8" i="6" s="1"/>
  <c r="N6" i="6"/>
  <c r="O7" i="6" s="1"/>
  <c r="B38" i="6"/>
  <c r="C4" i="6" s="1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17" i="6"/>
  <c r="D18" i="6" s="1"/>
  <c r="E19" i="6" s="1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9" i="6"/>
  <c r="D30" i="6" s="1"/>
  <c r="E31" i="6" s="1"/>
  <c r="F32" i="6" s="1"/>
  <c r="G33" i="6" s="1"/>
  <c r="H34" i="6" s="1"/>
  <c r="I35" i="6" s="1"/>
  <c r="J36" i="6" s="1"/>
  <c r="K37" i="6" s="1"/>
  <c r="C33" i="6"/>
  <c r="D34" i="6" s="1"/>
  <c r="E35" i="6" s="1"/>
  <c r="F36" i="6" s="1"/>
  <c r="G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9" i="18" s="1"/>
  <c r="C11" i="18"/>
  <c r="O23" i="18" s="1"/>
  <c r="C10" i="18"/>
  <c r="L19" i="18" s="1"/>
  <c r="C6" i="18"/>
  <c r="F9" i="18" s="1"/>
  <c r="L15" i="18"/>
  <c r="C2" i="18"/>
  <c r="O14" i="18"/>
  <c r="O13" i="18"/>
  <c r="N13" i="18"/>
  <c r="O12" i="18"/>
  <c r="N12" i="18"/>
  <c r="M12" i="18"/>
  <c r="O11" i="18"/>
  <c r="N11" i="18"/>
  <c r="M11" i="18"/>
  <c r="L11" i="18"/>
  <c r="H11" i="18"/>
  <c r="O10" i="18"/>
  <c r="N10" i="18"/>
  <c r="M10" i="18"/>
  <c r="L10" i="18"/>
  <c r="K10" i="18"/>
  <c r="O9" i="18"/>
  <c r="N9" i="18"/>
  <c r="M9" i="18"/>
  <c r="L9" i="18"/>
  <c r="K9" i="18"/>
  <c r="J9" i="18"/>
  <c r="O8" i="18"/>
  <c r="N8" i="18"/>
  <c r="M8" i="18"/>
  <c r="L8" i="18"/>
  <c r="K8" i="18"/>
  <c r="J8" i="18"/>
  <c r="I8" i="18"/>
  <c r="O7" i="18"/>
  <c r="N7" i="18"/>
  <c r="M7" i="18"/>
  <c r="L7" i="18"/>
  <c r="K7" i="18"/>
  <c r="J7" i="18"/>
  <c r="I7" i="18"/>
  <c r="H7" i="18"/>
  <c r="O6" i="18"/>
  <c r="N6" i="18"/>
  <c r="M6" i="18"/>
  <c r="L6" i="18"/>
  <c r="K6" i="18"/>
  <c r="J6" i="18"/>
  <c r="I6" i="18"/>
  <c r="H6" i="18"/>
  <c r="G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/>
  <c r="C27" i="13"/>
  <c r="D27" i="13" s="1"/>
  <c r="C16" i="13"/>
  <c r="D16" i="13" s="1"/>
  <c r="E4" i="13" s="1"/>
  <c r="F4" i="13" s="1"/>
  <c r="C28" i="13"/>
  <c r="D28" i="13" s="1"/>
  <c r="C17" i="13"/>
  <c r="D17" i="13" s="1"/>
  <c r="C29" i="13"/>
  <c r="D29" i="13" s="1"/>
  <c r="C18" i="13"/>
  <c r="D18" i="13" s="1"/>
  <c r="C30" i="13"/>
  <c r="D30" i="13" s="1"/>
  <c r="C19" i="13"/>
  <c r="D19" i="13" s="1"/>
  <c r="C31" i="13"/>
  <c r="D31" i="13" s="1"/>
  <c r="C8" i="13"/>
  <c r="D8" i="13" s="1"/>
  <c r="C20" i="13"/>
  <c r="D20" i="13" s="1"/>
  <c r="E8" i="13" s="1"/>
  <c r="F8" i="13" s="1"/>
  <c r="C9" i="13"/>
  <c r="D9" i="13" s="1"/>
  <c r="C21" i="13"/>
  <c r="D21" i="13" s="1"/>
  <c r="C10" i="13"/>
  <c r="D10" i="13" s="1"/>
  <c r="C22" i="13"/>
  <c r="D22" i="13" s="1"/>
  <c r="E10" i="13" s="1"/>
  <c r="F10" i="13" s="1"/>
  <c r="C11" i="13"/>
  <c r="D11" i="13"/>
  <c r="C23" i="13"/>
  <c r="D23" i="13" s="1"/>
  <c r="C12" i="13"/>
  <c r="D12" i="13" s="1"/>
  <c r="C24" i="13"/>
  <c r="D24" i="13" s="1"/>
  <c r="C13" i="13"/>
  <c r="D13" i="13" s="1"/>
  <c r="E13" i="13" s="1"/>
  <c r="F13" i="13" s="1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 s="1"/>
  <c r="G6" i="5" s="1"/>
  <c r="C5" i="3"/>
  <c r="D6" i="3" s="1"/>
  <c r="E6" i="3" s="1"/>
  <c r="F6" i="3" s="1"/>
  <c r="I12" i="18" l="1"/>
  <c r="I17" i="18"/>
  <c r="E8" i="18"/>
  <c r="N17" i="18"/>
  <c r="C7" i="18"/>
  <c r="E11" i="13"/>
  <c r="F11" i="13" s="1"/>
  <c r="E3" i="13"/>
  <c r="F3" i="13" s="1"/>
  <c r="D7" i="18"/>
  <c r="C3" i="18"/>
  <c r="M21" i="18"/>
  <c r="C14" i="18"/>
  <c r="O31" i="18"/>
  <c r="E21" i="18"/>
  <c r="I25" i="18"/>
  <c r="M29" i="18"/>
  <c r="C35" i="6"/>
  <c r="D36" i="6" s="1"/>
  <c r="E37" i="6" s="1"/>
  <c r="C31" i="6"/>
  <c r="D32" i="6" s="1"/>
  <c r="E33" i="6" s="1"/>
  <c r="F34" i="6" s="1"/>
  <c r="G35" i="6" s="1"/>
  <c r="H36" i="6" s="1"/>
  <c r="I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15" i="6"/>
  <c r="D16" i="6" s="1"/>
  <c r="E17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7" i="6"/>
  <c r="D8" i="6" s="1"/>
  <c r="E9" i="6" s="1"/>
  <c r="F10" i="6" s="1"/>
  <c r="G11" i="6" s="1"/>
  <c r="H12" i="6" s="1"/>
  <c r="I13" i="6" s="1"/>
  <c r="J14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18" i="18"/>
  <c r="L27" i="18" s="1"/>
  <c r="C23" i="18"/>
  <c r="C34" i="6"/>
  <c r="D35" i="6" s="1"/>
  <c r="E36" i="6" s="1"/>
  <c r="F37" i="6" s="1"/>
  <c r="C30" i="6"/>
  <c r="D31" i="6" s="1"/>
  <c r="E32" i="6" s="1"/>
  <c r="F33" i="6" s="1"/>
  <c r="G34" i="6" s="1"/>
  <c r="H35" i="6" s="1"/>
  <c r="I36" i="6" s="1"/>
  <c r="J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2" i="6"/>
  <c r="B42" i="2"/>
  <c r="E7" i="13"/>
  <c r="F7" i="13" s="1"/>
  <c r="E5" i="13"/>
  <c r="F5" i="13" s="1"/>
  <c r="E9" i="13"/>
  <c r="F9" i="13" s="1"/>
  <c r="D15" i="18"/>
  <c r="F17" i="18"/>
  <c r="C15" i="18"/>
  <c r="N26" i="18" s="1"/>
  <c r="C36" i="6"/>
  <c r="D37" i="6" s="1"/>
  <c r="C32" i="6"/>
  <c r="D33" i="6" s="1"/>
  <c r="E34" i="6" s="1"/>
  <c r="F35" i="6" s="1"/>
  <c r="G36" i="6" s="1"/>
  <c r="H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F18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L24" i="18"/>
  <c r="J22" i="18"/>
  <c r="H20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F18" i="18" l="1"/>
  <c r="N25" i="18"/>
  <c r="H19" i="18"/>
  <c r="J21" i="18"/>
  <c r="L23" i="18"/>
  <c r="O15" i="18"/>
  <c r="H8" i="18"/>
  <c r="F6" i="18"/>
  <c r="J10" i="18"/>
  <c r="I9" i="18"/>
  <c r="O19" i="18"/>
  <c r="H12" i="18"/>
  <c r="F10" i="18"/>
  <c r="E9" i="18"/>
  <c r="K15" i="18"/>
  <c r="I13" i="18"/>
  <c r="D8" i="18"/>
  <c r="K23" i="18"/>
  <c r="G19" i="18"/>
  <c r="O27" i="18"/>
  <c r="K31" i="18"/>
  <c r="G27" i="18"/>
  <c r="O35" i="18"/>
  <c r="D3" i="6"/>
  <c r="E4" i="6" s="1"/>
  <c r="C38" i="6"/>
  <c r="D38" i="6"/>
  <c r="F18" i="7"/>
  <c r="G18" i="7" s="1"/>
  <c r="C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 s="1"/>
  <c r="D18" i="7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C7" i="5" l="1"/>
  <c r="D7" i="5"/>
  <c r="F5" i="6"/>
  <c r="E38" i="6"/>
  <c r="E40" i="6" s="1"/>
  <c r="D40" i="6"/>
  <c r="M38" i="18"/>
  <c r="M40" i="18" s="1"/>
  <c r="J38" i="18"/>
  <c r="J40" i="18" s="1"/>
  <c r="F38" i="18"/>
  <c r="F40" i="18" s="1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C7" i="3"/>
  <c r="E8" i="5"/>
  <c r="F8" i="5" s="1"/>
  <c r="G8" i="5" s="1"/>
  <c r="L16" i="6"/>
  <c r="F19" i="7"/>
  <c r="G19" i="7" s="1"/>
  <c r="C19" i="7" s="1"/>
  <c r="D19" i="7"/>
  <c r="H18" i="11"/>
  <c r="E18" i="11"/>
  <c r="E18" i="7"/>
  <c r="H18" i="7"/>
  <c r="D18" i="11"/>
  <c r="D8" i="5" l="1"/>
  <c r="G6" i="6"/>
  <c r="F38" i="6"/>
  <c r="F40" i="6" s="1"/>
  <c r="F20" i="7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7" i="6" l="1"/>
  <c r="G38" i="6"/>
  <c r="G40" i="6" s="1"/>
  <c r="H19" i="11"/>
  <c r="E19" i="11"/>
  <c r="C19" i="11"/>
  <c r="N18" i="6"/>
  <c r="J22" i="6"/>
  <c r="C8" i="3"/>
  <c r="D19" i="11"/>
  <c r="E20" i="7"/>
  <c r="H20" i="7"/>
  <c r="E9" i="5"/>
  <c r="F9" i="5" s="1"/>
  <c r="C9" i="5" s="1"/>
  <c r="C20" i="7"/>
  <c r="I8" i="6" l="1"/>
  <c r="H38" i="6"/>
  <c r="H40" i="6" s="1"/>
  <c r="E10" i="5"/>
  <c r="F10" i="5" s="1"/>
  <c r="G10" i="5" s="1"/>
  <c r="G9" i="5"/>
  <c r="D9" i="5"/>
  <c r="K23" i="6"/>
  <c r="F21" i="7"/>
  <c r="G21" i="7" s="1"/>
  <c r="D9" i="3"/>
  <c r="E9" i="3" s="1"/>
  <c r="F9" i="3" s="1"/>
  <c r="O19" i="6"/>
  <c r="F20" i="11"/>
  <c r="G20" i="11" s="1"/>
  <c r="D20" i="11" s="1"/>
  <c r="C9" i="3" l="1"/>
  <c r="C20" i="11"/>
  <c r="J9" i="6"/>
  <c r="I38" i="6"/>
  <c r="I40" i="6" s="1"/>
  <c r="E21" i="7"/>
  <c r="H21" i="7"/>
  <c r="D21" i="7"/>
  <c r="C21" i="7"/>
  <c r="D10" i="5"/>
  <c r="F21" i="11"/>
  <c r="G21" i="11" s="1"/>
  <c r="D10" i="3"/>
  <c r="E10" i="3" s="1"/>
  <c r="F10" i="3" s="1"/>
  <c r="C10" i="3"/>
  <c r="H20" i="11"/>
  <c r="E20" i="11"/>
  <c r="L24" i="6"/>
  <c r="C10" i="5"/>
  <c r="K10" i="6" l="1"/>
  <c r="J38" i="6"/>
  <c r="J40" i="6" s="1"/>
  <c r="H21" i="11"/>
  <c r="E21" i="11"/>
  <c r="D11" i="3"/>
  <c r="E11" i="3" s="1"/>
  <c r="F11" i="3" s="1"/>
  <c r="C11" i="3"/>
  <c r="M25" i="6"/>
  <c r="F22" i="7"/>
  <c r="G22" i="7" s="1"/>
  <c r="D22" i="7" s="1"/>
  <c r="E11" i="5"/>
  <c r="F11" i="5" s="1"/>
  <c r="G11" i="5" s="1"/>
  <c r="C21" i="11"/>
  <c r="D21" i="11"/>
  <c r="L11" i="6" l="1"/>
  <c r="K38" i="6"/>
  <c r="K40" i="6" s="1"/>
  <c r="D12" i="3"/>
  <c r="E12" i="3" s="1"/>
  <c r="F12" i="3" s="1"/>
  <c r="C22" i="7"/>
  <c r="E22" i="7"/>
  <c r="H22" i="7"/>
  <c r="F22" i="11"/>
  <c r="G22" i="11" s="1"/>
  <c r="C11" i="5"/>
  <c r="N26" i="6"/>
  <c r="D11" i="5"/>
  <c r="M12" i="6" l="1"/>
  <c r="L38" i="6"/>
  <c r="L40" i="6" s="1"/>
  <c r="O27" i="6"/>
  <c r="C12" i="3"/>
  <c r="E12" i="5"/>
  <c r="F12" i="5" s="1"/>
  <c r="G12" i="5" s="1"/>
  <c r="H22" i="11"/>
  <c r="E22" i="11"/>
  <c r="D22" i="11"/>
  <c r="C22" i="11"/>
  <c r="F23" i="7"/>
  <c r="G23" i="7" s="1"/>
  <c r="C23" i="7" s="1"/>
  <c r="N13" i="6" l="1"/>
  <c r="M38" i="6"/>
  <c r="M40" i="6" s="1"/>
  <c r="F23" i="11"/>
  <c r="G23" i="11" s="1"/>
  <c r="C12" i="5"/>
  <c r="D12" i="5"/>
  <c r="E23" i="7"/>
  <c r="H23" i="7"/>
  <c r="D23" i="7"/>
  <c r="D13" i="3"/>
  <c r="E13" i="3" s="1"/>
  <c r="F13" i="3" s="1"/>
  <c r="O14" i="6" l="1"/>
  <c r="O38" i="6" s="1"/>
  <c r="O40" i="6" s="1"/>
  <c r="N38" i="6"/>
  <c r="N40" i="6" s="1"/>
  <c r="H23" i="11"/>
  <c r="E23" i="11"/>
  <c r="C23" i="11"/>
  <c r="F24" i="7"/>
  <c r="G24" i="7" s="1"/>
  <c r="C24" i="7" s="1"/>
  <c r="E13" i="5"/>
  <c r="F13" i="5" s="1"/>
  <c r="G13" i="5" s="1"/>
  <c r="C13" i="3"/>
  <c r="D23" i="11"/>
  <c r="C13" i="5" l="1"/>
  <c r="D13" i="5"/>
  <c r="E14" i="5" s="1"/>
  <c r="F14" i="5" s="1"/>
  <c r="G14" i="5" s="1"/>
  <c r="E24" i="7"/>
  <c r="H24" i="7"/>
  <c r="F24" i="11"/>
  <c r="G24" i="11" s="1"/>
  <c r="D14" i="3"/>
  <c r="E14" i="3" s="1"/>
  <c r="F14" i="3" s="1"/>
  <c r="D24" i="7"/>
  <c r="H24" i="11" l="1"/>
  <c r="E24" i="11"/>
  <c r="D14" i="5"/>
  <c r="C24" i="11"/>
  <c r="D24" i="11"/>
  <c r="F25" i="7"/>
  <c r="G25" i="7" s="1"/>
  <c r="C14" i="3"/>
  <c r="C25" i="7"/>
  <c r="C14" i="5"/>
  <c r="E25" i="7" l="1"/>
  <c r="H25" i="7"/>
  <c r="F25" i="11"/>
  <c r="G25" i="11" s="1"/>
  <c r="D25" i="11" s="1"/>
  <c r="E15" i="5"/>
  <c r="F15" i="5" s="1"/>
  <c r="G15" i="5" s="1"/>
  <c r="D25" i="7"/>
  <c r="D15" i="3"/>
  <c r="E15" i="3" s="1"/>
  <c r="F15" i="3" s="1"/>
  <c r="C15" i="3" l="1"/>
  <c r="D15" i="5"/>
  <c r="C25" i="11"/>
  <c r="F26" i="11" s="1"/>
  <c r="G26" i="11" s="1"/>
  <c r="D26" i="11" s="1"/>
  <c r="D16" i="3"/>
  <c r="E16" i="3" s="1"/>
  <c r="F16" i="3" s="1"/>
  <c r="C15" i="5"/>
  <c r="F26" i="7"/>
  <c r="G26" i="7" s="1"/>
  <c r="E25" i="11"/>
  <c r="H25" i="11"/>
  <c r="C16" i="3" l="1"/>
  <c r="C26" i="11"/>
  <c r="F27" i="11"/>
  <c r="G27" i="11" s="1"/>
  <c r="E16" i="5"/>
  <c r="F16" i="5" s="1"/>
  <c r="E26" i="7"/>
  <c r="H26" i="7"/>
  <c r="D17" i="3"/>
  <c r="E17" i="3" s="1"/>
  <c r="F17" i="3" s="1"/>
  <c r="D26" i="7"/>
  <c r="C26" i="7"/>
  <c r="H26" i="11"/>
  <c r="E26" i="11"/>
  <c r="C17" i="3" l="1"/>
  <c r="D18" i="3" s="1"/>
  <c r="E18" i="3" s="1"/>
  <c r="F18" i="3" s="1"/>
  <c r="F27" i="7"/>
  <c r="G27" i="7" s="1"/>
  <c r="D27" i="7" s="1"/>
  <c r="H27" i="11"/>
  <c r="E27" i="11"/>
  <c r="G16" i="5"/>
  <c r="D16" i="5"/>
  <c r="C27" i="11"/>
  <c r="C16" i="5"/>
  <c r="D27" i="11"/>
  <c r="C18" i="3" l="1"/>
  <c r="D19" i="3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F29" i="11"/>
  <c r="G29" i="11" s="1"/>
  <c r="C28" i="7"/>
  <c r="C18" i="5" l="1"/>
  <c r="F29" i="7"/>
  <c r="G29" i="7" s="1"/>
  <c r="D29" i="7" s="1"/>
  <c r="C29" i="7"/>
  <c r="H29" i="11"/>
  <c r="E29" i="11"/>
  <c r="D29" i="11"/>
  <c r="D18" i="5"/>
  <c r="E19" i="5"/>
  <c r="F19" i="5" s="1"/>
  <c r="G19" i="5" s="1"/>
  <c r="C29" i="11"/>
  <c r="C20" i="3"/>
  <c r="C19" i="5" l="1"/>
  <c r="F30" i="7"/>
  <c r="G30" i="7" s="1"/>
  <c r="C30" i="7" s="1"/>
  <c r="D21" i="3"/>
  <c r="E21" i="3" s="1"/>
  <c r="F21" i="3" s="1"/>
  <c r="D19" i="5"/>
  <c r="F30" i="11"/>
  <c r="G30" i="11" s="1"/>
  <c r="D30" i="11" s="1"/>
  <c r="H29" i="7"/>
  <c r="E29" i="7"/>
  <c r="C30" i="11" l="1"/>
  <c r="F31" i="11" s="1"/>
  <c r="G31" i="11" s="1"/>
  <c r="C31" i="11" s="1"/>
  <c r="C21" i="3"/>
  <c r="H30" i="7"/>
  <c r="E30" i="7"/>
  <c r="H30" i="11"/>
  <c r="E30" i="11"/>
  <c r="E20" i="5"/>
  <c r="F20" i="5" s="1"/>
  <c r="D20" i="5" s="1"/>
  <c r="D30" i="7"/>
  <c r="F31" i="7" s="1"/>
  <c r="G31" i="7" s="1"/>
  <c r="H31" i="7" l="1"/>
  <c r="E31" i="7"/>
  <c r="D22" i="3"/>
  <c r="E22" i="3" s="1"/>
  <c r="F22" i="3" s="1"/>
  <c r="C22" i="3"/>
  <c r="C31" i="7"/>
  <c r="D31" i="7"/>
  <c r="G20" i="5"/>
  <c r="C20" i="5"/>
  <c r="H31" i="11"/>
  <c r="E31" i="11"/>
  <c r="D31" i="11"/>
  <c r="F32" i="7" l="1"/>
  <c r="G32" i="7" s="1"/>
  <c r="F32" i="11"/>
  <c r="G32" i="11" s="1"/>
  <c r="C32" i="11" s="1"/>
  <c r="D32" i="7"/>
  <c r="D23" i="3"/>
  <c r="E23" i="3" s="1"/>
  <c r="F23" i="3" s="1"/>
  <c r="E21" i="5"/>
  <c r="F21" i="5" s="1"/>
  <c r="C21" i="5" s="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D22" i="5"/>
  <c r="F33" i="7"/>
  <c r="G33" i="7" s="1"/>
  <c r="C33" i="7"/>
  <c r="D33" i="11"/>
  <c r="D24" i="3"/>
  <c r="E24" i="3" s="1"/>
  <c r="F24" i="3" s="1"/>
  <c r="E22" i="5"/>
  <c r="F22" i="5" s="1"/>
  <c r="G22" i="5" s="1"/>
  <c r="C24" i="3" l="1"/>
  <c r="C22" i="5"/>
  <c r="E23" i="5" s="1"/>
  <c r="F23" i="5" s="1"/>
  <c r="G23" i="5" s="1"/>
  <c r="D25" i="3"/>
  <c r="E25" i="3" s="1"/>
  <c r="F25" i="3" s="1"/>
  <c r="C25" i="3"/>
  <c r="F34" i="11"/>
  <c r="G34" i="11" s="1"/>
  <c r="C34" i="11" s="1"/>
  <c r="D34" i="11"/>
  <c r="H33" i="7"/>
  <c r="E33" i="7"/>
  <c r="D33" i="7"/>
  <c r="D23" i="5" l="1"/>
  <c r="F35" i="11"/>
  <c r="G35" i="11" s="1"/>
  <c r="D26" i="3"/>
  <c r="E26" i="3" s="1"/>
  <c r="F26" i="3" s="1"/>
  <c r="C23" i="5"/>
  <c r="F34" i="7"/>
  <c r="G34" i="7" s="1"/>
  <c r="D34" i="7" s="1"/>
  <c r="H34" i="11"/>
  <c r="E34" i="11"/>
  <c r="C26" i="3" l="1"/>
  <c r="H35" i="1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G24" i="5" l="1"/>
  <c r="D24" i="5"/>
  <c r="D36" i="11"/>
  <c r="E25" i="5"/>
  <c r="F25" i="5" s="1"/>
  <c r="G25" i="5" s="1"/>
  <c r="F36" i="11"/>
  <c r="G36" i="11" s="1"/>
  <c r="C36" i="11" s="1"/>
  <c r="F35" i="7"/>
  <c r="G35" i="7" s="1"/>
  <c r="C35" i="7" s="1"/>
  <c r="C27" i="3"/>
  <c r="F37" i="11" l="1"/>
  <c r="G37" i="11" s="1"/>
  <c r="D25" i="5"/>
  <c r="D28" i="3"/>
  <c r="E28" i="3" s="1"/>
  <c r="F28" i="3" s="1"/>
  <c r="C28" i="3"/>
  <c r="H35" i="7"/>
  <c r="E35" i="7"/>
  <c r="D35" i="7"/>
  <c r="C25" i="5"/>
  <c r="H36" i="11"/>
  <c r="E36" i="11"/>
  <c r="H37" i="11" l="1"/>
  <c r="E37" i="11"/>
  <c r="C37" i="11"/>
  <c r="E26" i="5"/>
  <c r="F26" i="5" s="1"/>
  <c r="G26" i="5" s="1"/>
  <c r="D37" i="11"/>
  <c r="D29" i="3"/>
  <c r="E29" i="3" s="1"/>
  <c r="F29" i="3" s="1"/>
  <c r="F36" i="7"/>
  <c r="G36" i="7" s="1"/>
  <c r="D36" i="7" s="1"/>
  <c r="D26" i="5" l="1"/>
  <c r="C26" i="5"/>
  <c r="F38" i="11"/>
  <c r="G38" i="11" s="1"/>
  <c r="D38" i="11" s="1"/>
  <c r="C29" i="3"/>
  <c r="H36" i="7"/>
  <c r="E36" i="7"/>
  <c r="E27" i="5"/>
  <c r="F27" i="5" s="1"/>
  <c r="G27" i="5" s="1"/>
  <c r="C36" i="7"/>
  <c r="C27" i="5" l="1"/>
  <c r="H38" i="11"/>
  <c r="E38" i="11"/>
  <c r="F37" i="7"/>
  <c r="G37" i="7" s="1"/>
  <c r="C37" i="7" s="1"/>
  <c r="D27" i="5"/>
  <c r="C38" i="11"/>
  <c r="E28" i="5"/>
  <c r="F28" i="5" s="1"/>
  <c r="G28" i="5" s="1"/>
  <c r="D30" i="3"/>
  <c r="E30" i="3" s="1"/>
  <c r="F30" i="3" s="1"/>
  <c r="C28" i="5" l="1"/>
  <c r="C30" i="3"/>
  <c r="F39" i="11"/>
  <c r="G39" i="11" s="1"/>
  <c r="C39" i="11" s="1"/>
  <c r="D28" i="5"/>
  <c r="H37" i="7"/>
  <c r="E37" i="7"/>
  <c r="D37" i="7"/>
  <c r="F38" i="7" l="1"/>
  <c r="G38" i="7" s="1"/>
  <c r="D38" i="7" s="1"/>
  <c r="D31" i="3"/>
  <c r="E31" i="3" s="1"/>
  <c r="F31" i="3" s="1"/>
  <c r="C31" i="3"/>
  <c r="E29" i="5"/>
  <c r="F29" i="5" s="1"/>
  <c r="G29" i="5" s="1"/>
  <c r="H39" i="11"/>
  <c r="E39" i="11"/>
  <c r="D39" i="11"/>
  <c r="C29" i="5" l="1"/>
  <c r="D29" i="5"/>
  <c r="E30" i="5" s="1"/>
  <c r="F30" i="5" s="1"/>
  <c r="G30" i="5" s="1"/>
  <c r="H38" i="7"/>
  <c r="E38" i="7"/>
  <c r="C38" i="7"/>
  <c r="D32" i="3"/>
  <c r="E32" i="3" s="1"/>
  <c r="F32" i="3" s="1"/>
  <c r="D40" i="11"/>
  <c r="F40" i="11"/>
  <c r="G40" i="11" s="1"/>
  <c r="C30" i="5" l="1"/>
  <c r="D30" i="5"/>
  <c r="F39" i="7"/>
  <c r="G39" i="7" s="1"/>
  <c r="H40" i="11"/>
  <c r="E40" i="11"/>
  <c r="C32" i="3"/>
  <c r="C40" i="11"/>
  <c r="E31" i="5" l="1"/>
  <c r="F31" i="5" s="1"/>
  <c r="G31" i="5" s="1"/>
  <c r="F41" i="11"/>
  <c r="G41" i="11" s="1"/>
  <c r="C31" i="5"/>
  <c r="H39" i="7"/>
  <c r="E39" i="7"/>
  <c r="D39" i="7"/>
  <c r="D33" i="3"/>
  <c r="E33" i="3" s="1"/>
  <c r="F33" i="3" s="1"/>
  <c r="C39" i="7"/>
  <c r="D31" i="5"/>
  <c r="C33" i="3" l="1"/>
  <c r="D34" i="3" s="1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 s="1"/>
  <c r="D42" i="11"/>
  <c r="C32" i="5"/>
  <c r="D35" i="3" l="1"/>
  <c r="E35" i="3" s="1"/>
  <c r="F35" i="3" s="1"/>
  <c r="C35" i="3"/>
  <c r="E33" i="5"/>
  <c r="F33" i="5" s="1"/>
  <c r="G33" i="5" s="1"/>
  <c r="F43" i="11"/>
  <c r="G43" i="11" s="1"/>
  <c r="H42" i="11"/>
  <c r="E42" i="11"/>
  <c r="F41" i="7"/>
  <c r="G41" i="7" s="1"/>
  <c r="C33" i="5" l="1"/>
  <c r="D33" i="5"/>
  <c r="H43" i="11"/>
  <c r="E43" i="11"/>
  <c r="D36" i="3"/>
  <c r="E36" i="3" s="1"/>
  <c r="F36" i="3" s="1"/>
  <c r="C43" i="11"/>
  <c r="E34" i="5"/>
  <c r="F34" i="5" s="1"/>
  <c r="G34" i="5" s="1"/>
  <c r="C34" i="5"/>
  <c r="H41" i="7"/>
  <c r="E41" i="7"/>
  <c r="D41" i="7"/>
  <c r="D43" i="11"/>
  <c r="C41" i="7"/>
  <c r="F44" i="11" l="1"/>
  <c r="G44" i="11" s="1"/>
  <c r="F42" i="7"/>
  <c r="G42" i="7" s="1"/>
  <c r="C42" i="7" s="1"/>
  <c r="C36" i="3"/>
  <c r="D34" i="5"/>
  <c r="E35" i="5" l="1"/>
  <c r="F35" i="5" s="1"/>
  <c r="H42" i="7"/>
  <c r="E42" i="7"/>
  <c r="H44" i="11"/>
  <c r="E44" i="11"/>
  <c r="D37" i="3"/>
  <c r="E37" i="3" s="1"/>
  <c r="F37" i="3" s="1"/>
  <c r="C37" i="3"/>
  <c r="D44" i="11"/>
  <c r="C44" i="11"/>
  <c r="D42" i="7"/>
  <c r="F43" i="7" s="1"/>
  <c r="G43" i="7" s="1"/>
  <c r="G35" i="5" l="1"/>
  <c r="C35" i="5"/>
  <c r="F45" i="11"/>
  <c r="G45" i="11" s="1"/>
  <c r="D45" i="11" s="1"/>
  <c r="D35" i="5"/>
  <c r="D38" i="3"/>
  <c r="E38" i="3" s="1"/>
  <c r="F38" i="3" s="1"/>
  <c r="H43" i="7"/>
  <c r="E43" i="7"/>
  <c r="D43" i="7"/>
  <c r="C43" i="7"/>
  <c r="C45" i="11" l="1"/>
  <c r="F46" i="11" s="1"/>
  <c r="G46" i="11" s="1"/>
  <c r="C46" i="11" s="1"/>
  <c r="E36" i="5"/>
  <c r="F36" i="5" s="1"/>
  <c r="G36" i="5" s="1"/>
  <c r="F44" i="7"/>
  <c r="G44" i="7" s="1"/>
  <c r="C38" i="3"/>
  <c r="H45" i="11"/>
  <c r="E45" i="11"/>
  <c r="C36" i="5" l="1"/>
  <c r="H44" i="7"/>
  <c r="E44" i="7"/>
  <c r="D39" i="3"/>
  <c r="E39" i="3" s="1"/>
  <c r="F39" i="3" s="1"/>
  <c r="D36" i="5"/>
  <c r="E37" i="5" s="1"/>
  <c r="F37" i="5" s="1"/>
  <c r="G37" i="5" s="1"/>
  <c r="H46" i="11"/>
  <c r="E46" i="11"/>
  <c r="C44" i="7"/>
  <c r="D46" i="11"/>
  <c r="D44" i="7"/>
  <c r="C37" i="5" l="1"/>
  <c r="C39" i="3"/>
  <c r="D40" i="3" s="1"/>
  <c r="E40" i="3" s="1"/>
  <c r="F40" i="3" s="1"/>
  <c r="F47" i="11"/>
  <c r="G47" i="11" s="1"/>
  <c r="D47" i="11" s="1"/>
  <c r="F45" i="7"/>
  <c r="G45" i="7" s="1"/>
  <c r="C45" i="7"/>
  <c r="D37" i="5"/>
  <c r="C47" i="11" l="1"/>
  <c r="F48" i="11" s="1"/>
  <c r="G48" i="11" s="1"/>
  <c r="C40" i="3"/>
  <c r="H47" i="11"/>
  <c r="E47" i="11"/>
  <c r="H45" i="7"/>
  <c r="E45" i="7"/>
  <c r="D45" i="7"/>
  <c r="F46" i="7" s="1"/>
  <c r="G46" i="7" s="1"/>
  <c r="E38" i="5"/>
  <c r="F38" i="5" s="1"/>
  <c r="G38" i="5" s="1"/>
  <c r="C48" i="11" l="1"/>
  <c r="C38" i="5"/>
  <c r="D41" i="3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C49" i="11" s="1"/>
  <c r="F47" i="7"/>
  <c r="G47" i="7" s="1"/>
  <c r="D47" i="7" s="1"/>
  <c r="C41" i="3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F48" i="7"/>
  <c r="G48" i="7" s="1"/>
  <c r="C48" i="7" s="1"/>
  <c r="D40" i="5" l="1"/>
  <c r="H50" i="11"/>
  <c r="E50" i="11"/>
  <c r="D50" i="11"/>
  <c r="H48" i="7"/>
  <c r="E48" i="7"/>
  <c r="D48" i="7"/>
  <c r="F49" i="7" s="1"/>
  <c r="G49" i="7" s="1"/>
  <c r="C40" i="5"/>
  <c r="C50" i="11"/>
  <c r="H49" i="7" l="1"/>
  <c r="E49" i="7"/>
  <c r="D49" i="7"/>
  <c r="F51" i="11"/>
  <c r="G51" i="11" s="1"/>
  <c r="C49" i="7"/>
  <c r="E41" i="5"/>
  <c r="F41" i="5" s="1"/>
  <c r="G41" i="5" s="1"/>
  <c r="F2" i="5" s="1"/>
  <c r="G2" i="5" s="1"/>
  <c r="D41" i="5" l="1"/>
  <c r="C41" i="5"/>
  <c r="B53" i="5" s="1"/>
  <c r="B45" i="5"/>
  <c r="B49" i="5"/>
  <c r="B47" i="5"/>
  <c r="B51" i="5"/>
  <c r="B50" i="5"/>
  <c r="B52" i="5"/>
  <c r="B48" i="5"/>
  <c r="F50" i="7"/>
  <c r="G50" i="7" s="1"/>
  <c r="C50" i="7" s="1"/>
  <c r="H51" i="11"/>
  <c r="E51" i="11"/>
  <c r="C51" i="11"/>
  <c r="D51" i="11"/>
  <c r="B44" i="5" l="1"/>
  <c r="B43" i="5"/>
  <c r="B46" i="5"/>
  <c r="B42" i="5"/>
  <c r="H50" i="7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<sst xmlns="http://schemas.openxmlformats.org/spreadsheetml/2006/main" count="77" uniqueCount="34">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</sst>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scheme val="minor"/>
    </font>
    <font>
      <b/>
      <i/>
      <sz val="12"/>
      <color rgb="FFFF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  <xf numFmtId="2" fontId="0" fillId="5" borderId="0" xfId="0" applyNumberFormat="1" applyFill="1"/>
    <xf numFmtId="2" fontId="0" fillId="6" borderId="0" xfId="0" applyNumberFormat="1" applyFill="1"/>
    <xf numFmtId="2" fontId="0" fillId="7" borderId="0" xfId="0" applyNumberFormat="1" applyFill="1"/>
  </cellXfs>
  <cellStyles count="4364">
    <cellStyle name="Gevolgde hyperlink" xfId="2" builtinId="9" hidden="1"/>
    <cellStyle name="Gevolgde hyperlink" xfId="4" builtinId="9" hidden="1"/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evolgde hyperlink" xfId="66" builtinId="9" hidden="1"/>
    <cellStyle name="Gevolgde hyperlink" xfId="68" builtinId="9" hidden="1"/>
    <cellStyle name="Gevolgde hyperlink" xfId="70" builtinId="9" hidden="1"/>
    <cellStyle name="Gevolgde hyperlink" xfId="72" builtinId="9" hidden="1"/>
    <cellStyle name="Gevolgde hyperlink" xfId="74" builtinId="9" hidden="1"/>
    <cellStyle name="Gevolgde hyperlink" xfId="76" builtinId="9" hidden="1"/>
    <cellStyle name="Gevolgde hyperlink" xfId="78" builtinId="9" hidden="1"/>
    <cellStyle name="Gevolgde hyperlink" xfId="80" builtinId="9" hidden="1"/>
    <cellStyle name="Gevolgde hyperlink" xfId="82" builtinId="9" hidden="1"/>
    <cellStyle name="Gevolgde hyperlink" xfId="84" builtinId="9" hidden="1"/>
    <cellStyle name="Gevolgde hyperlink" xfId="86" builtinId="9" hidden="1"/>
    <cellStyle name="Gevolgde hyperlink" xfId="88" builtinId="9" hidden="1"/>
    <cellStyle name="Gevolgde hyperlink" xfId="90" builtinId="9" hidden="1"/>
    <cellStyle name="Gevolgde hyperlink" xfId="92" builtinId="9" hidden="1"/>
    <cellStyle name="Gevolgde hyperlink" xfId="94" builtinId="9" hidden="1"/>
    <cellStyle name="Gevolgde hyperlink" xfId="96" builtinId="9" hidden="1"/>
    <cellStyle name="Gevolgde hyperlink" xfId="98" builtinId="9" hidden="1"/>
    <cellStyle name="Gevolgde hyperlink" xfId="100" builtinId="9" hidden="1"/>
    <cellStyle name="Gevolgde hyperlink" xfId="102" builtinId="9" hidden="1"/>
    <cellStyle name="Gevolgde hyperlink" xfId="104" builtinId="9" hidden="1"/>
    <cellStyle name="Gevolgde hyperlink" xfId="106" builtinId="9" hidden="1"/>
    <cellStyle name="Gevolgde hyperlink" xfId="108" builtinId="9" hidden="1"/>
    <cellStyle name="Gevolgde hyperlink" xfId="110" builtinId="9" hidden="1"/>
    <cellStyle name="Gevolgde hyperlink" xfId="112" builtinId="9" hidden="1"/>
    <cellStyle name="Gevolgde hyperlink" xfId="114" builtinId="9" hidden="1"/>
    <cellStyle name="Gevolgde hyperlink" xfId="116" builtinId="9" hidden="1"/>
    <cellStyle name="Gevolgde hyperlink" xfId="118" builtinId="9" hidden="1"/>
    <cellStyle name="Gevolgde hyperlink" xfId="120" builtinId="9" hidden="1"/>
    <cellStyle name="Gevolgde hyperlink" xfId="122" builtinId="9" hidden="1"/>
    <cellStyle name="Gevolgde hyperlink" xfId="124" builtinId="9" hidden="1"/>
    <cellStyle name="Gevolgde hyperlink" xfId="126" builtinId="9" hidden="1"/>
    <cellStyle name="Gevolgde hyperlink" xfId="128" builtinId="9" hidden="1"/>
    <cellStyle name="Gevolgde hyperlink" xfId="130" builtinId="9" hidden="1"/>
    <cellStyle name="Gevolgde hyperlink" xfId="132" builtinId="9" hidden="1"/>
    <cellStyle name="Gevolgde hyperlink" xfId="134" builtinId="9" hidden="1"/>
    <cellStyle name="Gevolgde hyperlink" xfId="136" builtinId="9" hidden="1"/>
    <cellStyle name="Gevolgde hyperlink" xfId="138" builtinId="9" hidden="1"/>
    <cellStyle name="Gevolgde hyperlink" xfId="140" builtinId="9" hidden="1"/>
    <cellStyle name="Gevolgde hyperlink" xfId="142" builtinId="9" hidden="1"/>
    <cellStyle name="Gevolgde hyperlink" xfId="144" builtinId="9" hidden="1"/>
    <cellStyle name="Gevolgde hyperlink" xfId="146" builtinId="9" hidden="1"/>
    <cellStyle name="Gevolgde hyperlink" xfId="148" builtinId="9" hidden="1"/>
    <cellStyle name="Gevolgde hyperlink" xfId="150" builtinId="9" hidden="1"/>
    <cellStyle name="Gevolgde hyperlink" xfId="152" builtinId="9" hidden="1"/>
    <cellStyle name="Gevolgde hyperlink" xfId="154" builtinId="9" hidden="1"/>
    <cellStyle name="Gevolgde hyperlink" xfId="156" builtinId="9" hidden="1"/>
    <cellStyle name="Gevolgde hyperlink" xfId="158" builtinId="9" hidden="1"/>
    <cellStyle name="Gevolgde hyperlink" xfId="160" builtinId="9" hidden="1"/>
    <cellStyle name="Gevolgde hyperlink" xfId="162" builtinId="9" hidden="1"/>
    <cellStyle name="Gevolgde hyperlink" xfId="164" builtinId="9" hidden="1"/>
    <cellStyle name="Gevolgde hyperlink" xfId="166" builtinId="9" hidden="1"/>
    <cellStyle name="Gevolgde hyperlink" xfId="168" builtinId="9" hidden="1"/>
    <cellStyle name="Gevolgde hyperlink" xfId="170" builtinId="9" hidden="1"/>
    <cellStyle name="Gevolgde hyperlink" xfId="172" builtinId="9" hidden="1"/>
    <cellStyle name="Gevolgde hyperlink" xfId="174" builtinId="9" hidden="1"/>
    <cellStyle name="Gevolgde hyperlink" xfId="176" builtinId="9" hidden="1"/>
    <cellStyle name="Gevolgde hyperlink" xfId="178" builtinId="9" hidden="1"/>
    <cellStyle name="Gevolgde hyperlink" xfId="180" builtinId="9" hidden="1"/>
    <cellStyle name="Gevolgde hyperlink" xfId="182" builtinId="9" hidden="1"/>
    <cellStyle name="Gevolgde hyperlink" xfId="184" builtinId="9" hidden="1"/>
    <cellStyle name="Gevolgde hyperlink" xfId="186" builtinId="9" hidden="1"/>
    <cellStyle name="Gevolgde hyperlink" xfId="188" builtinId="9" hidden="1"/>
    <cellStyle name="Gevolgde hyperlink" xfId="190" builtinId="9" hidden="1"/>
    <cellStyle name="Gevolgde hyperlink" xfId="192" builtinId="9" hidden="1"/>
    <cellStyle name="Gevolgde hyperlink" xfId="194" builtinId="9" hidden="1"/>
    <cellStyle name="Gevolgde hyperlink" xfId="196" builtinId="9" hidden="1"/>
    <cellStyle name="Gevolgde hyperlink" xfId="198" builtinId="9" hidden="1"/>
    <cellStyle name="Gevolgde hyperlink" xfId="200" builtinId="9" hidden="1"/>
    <cellStyle name="Gevolgde hyperlink" xfId="202" builtinId="9" hidden="1"/>
    <cellStyle name="Gevolgde hyperlink" xfId="204" builtinId="9" hidden="1"/>
    <cellStyle name="Gevolgde hyperlink" xfId="206" builtinId="9" hidden="1"/>
    <cellStyle name="Gevolgde hyperlink" xfId="208" builtinId="9" hidden="1"/>
    <cellStyle name="Gevolgde hyperlink" xfId="210" builtinId="9" hidden="1"/>
    <cellStyle name="Gevolgde hyperlink" xfId="212" builtinId="9" hidden="1"/>
    <cellStyle name="Gevolgde hyperlink" xfId="214" builtinId="9" hidden="1"/>
    <cellStyle name="Gevolgde hyperlink" xfId="216" builtinId="9" hidden="1"/>
    <cellStyle name="Gevolgde hyperlink" xfId="218" builtinId="9" hidden="1"/>
    <cellStyle name="Gevolgde hyperlink" xfId="220" builtinId="9" hidden="1"/>
    <cellStyle name="Gevolgde hyperlink" xfId="222" builtinId="9" hidden="1"/>
    <cellStyle name="Gevolgde hyperlink" xfId="224" builtinId="9" hidden="1"/>
    <cellStyle name="Gevolgde hyperlink" xfId="226" builtinId="9" hidden="1"/>
    <cellStyle name="Gevolgde hyperlink" xfId="228" builtinId="9" hidden="1"/>
    <cellStyle name="Gevolgde hyperlink" xfId="230" builtinId="9" hidden="1"/>
    <cellStyle name="Gevolgde hyperlink" xfId="232" builtinId="9" hidden="1"/>
    <cellStyle name="Gevolgde hyperlink" xfId="234" builtinId="9" hidden="1"/>
    <cellStyle name="Gevolgde hyperlink" xfId="236" builtinId="9" hidden="1"/>
    <cellStyle name="Gevolgde hyperlink" xfId="238" builtinId="9" hidden="1"/>
    <cellStyle name="Gevolgde hyperlink" xfId="240" builtinId="9" hidden="1"/>
    <cellStyle name="Gevolgde hyperlink" xfId="242" builtinId="9" hidden="1"/>
    <cellStyle name="Gevolgde hyperlink" xfId="244" builtinId="9" hidden="1"/>
    <cellStyle name="Gevolgde hyperlink" xfId="246" builtinId="9" hidden="1"/>
    <cellStyle name="Gevolgde hyperlink" xfId="248" builtinId="9" hidden="1"/>
    <cellStyle name="Gevolgde hyperlink" xfId="250" builtinId="9" hidden="1"/>
    <cellStyle name="Gevolgde hyperlink" xfId="252" builtinId="9" hidden="1"/>
    <cellStyle name="Gevolgde hyperlink" xfId="254" builtinId="9" hidden="1"/>
    <cellStyle name="Gevolgde hyperlink" xfId="256" builtinId="9" hidden="1"/>
    <cellStyle name="Gevolgde hyperlink" xfId="258" builtinId="9" hidden="1"/>
    <cellStyle name="Gevolgde hyperlink" xfId="260" builtinId="9" hidden="1"/>
    <cellStyle name="Gevolgde hyperlink" xfId="262" builtinId="9" hidden="1"/>
    <cellStyle name="Gevolgde hyperlink" xfId="264" builtinId="9" hidden="1"/>
    <cellStyle name="Gevolgde hyperlink" xfId="266" builtinId="9" hidden="1"/>
    <cellStyle name="Gevolgde hyperlink" xfId="268" builtinId="9" hidden="1"/>
    <cellStyle name="Gevolgde hyperlink" xfId="270" builtinId="9" hidden="1"/>
    <cellStyle name="Gevolgde hyperlink" xfId="272" builtinId="9" hidden="1"/>
    <cellStyle name="Gevolgde hyperlink" xfId="274" builtinId="9" hidden="1"/>
    <cellStyle name="Gevolgde hyperlink" xfId="276" builtinId="9" hidden="1"/>
    <cellStyle name="Gevolgde hyperlink" xfId="278" builtinId="9" hidden="1"/>
    <cellStyle name="Gevolgde hyperlink" xfId="280" builtinId="9" hidden="1"/>
    <cellStyle name="Gevolgde hyperlink" xfId="282" builtinId="9" hidden="1"/>
    <cellStyle name="Gevolgde hyperlink" xfId="284" builtinId="9" hidden="1"/>
    <cellStyle name="Gevolgde hyperlink" xfId="286" builtinId="9" hidden="1"/>
    <cellStyle name="Gevolgde hyperlink" xfId="288" builtinId="9" hidden="1"/>
    <cellStyle name="Gevolgde hyperlink" xfId="290" builtinId="9" hidden="1"/>
    <cellStyle name="Gevolgde hyperlink" xfId="292" builtinId="9" hidden="1"/>
    <cellStyle name="Gevolgde hyperlink" xfId="294" builtinId="9" hidden="1"/>
    <cellStyle name="Gevolgde hyperlink" xfId="296" builtinId="9" hidden="1"/>
    <cellStyle name="Gevolgde hyperlink" xfId="298" builtinId="9" hidden="1"/>
    <cellStyle name="Gevolgde hyperlink" xfId="300" builtinId="9" hidden="1"/>
    <cellStyle name="Gevolgde hyperlink" xfId="302" builtinId="9" hidden="1"/>
    <cellStyle name="Gevolgde hyperlink" xfId="304" builtinId="9" hidden="1"/>
    <cellStyle name="Gevolgde hyperlink" xfId="306" builtinId="9" hidden="1"/>
    <cellStyle name="Gevolgde hyperlink" xfId="308" builtinId="9" hidden="1"/>
    <cellStyle name="Gevolgde hyperlink" xfId="310" builtinId="9" hidden="1"/>
    <cellStyle name="Gevolgde hyperlink" xfId="312" builtinId="9" hidden="1"/>
    <cellStyle name="Gevolgde hyperlink" xfId="314" builtinId="9" hidden="1"/>
    <cellStyle name="Gevolgde hyperlink" xfId="316" builtinId="9" hidden="1"/>
    <cellStyle name="Gevolgde hyperlink" xfId="318" builtinId="9" hidden="1"/>
    <cellStyle name="Gevolgde hyperlink" xfId="320" builtinId="9" hidden="1"/>
    <cellStyle name="Gevolgde hyperlink" xfId="322" builtinId="9" hidden="1"/>
    <cellStyle name="Gevolgde hyperlink" xfId="324" builtinId="9" hidden="1"/>
    <cellStyle name="Gevolgde hyperlink" xfId="326" builtinId="9" hidden="1"/>
    <cellStyle name="Gevolgde hyperlink" xfId="328" builtinId="9" hidden="1"/>
    <cellStyle name="Gevolgde hyperlink" xfId="330" builtinId="9" hidden="1"/>
    <cellStyle name="Gevolgde hyperlink" xfId="332" builtinId="9" hidden="1"/>
    <cellStyle name="Gevolgde hyperlink" xfId="334" builtinId="9" hidden="1"/>
    <cellStyle name="Gevolgde hyperlink" xfId="336" builtinId="9" hidden="1"/>
    <cellStyle name="Gevolgde hyperlink" xfId="338" builtinId="9" hidden="1"/>
    <cellStyle name="Gevolgde hyperlink" xfId="340" builtinId="9" hidden="1"/>
    <cellStyle name="Gevolgde hyperlink" xfId="342" builtinId="9" hidden="1"/>
    <cellStyle name="Gevolgde hyperlink" xfId="344" builtinId="9" hidden="1"/>
    <cellStyle name="Gevolgde hyperlink" xfId="346" builtinId="9" hidden="1"/>
    <cellStyle name="Gevolgde hyperlink" xfId="348" builtinId="9" hidden="1"/>
    <cellStyle name="Gevolgde hyperlink" xfId="350" builtinId="9" hidden="1"/>
    <cellStyle name="Gevolgde hyperlink" xfId="352" builtinId="9" hidden="1"/>
    <cellStyle name="Gevolgde hyperlink" xfId="354" builtinId="9" hidden="1"/>
    <cellStyle name="Gevolgde hyperlink" xfId="356" builtinId="9" hidden="1"/>
    <cellStyle name="Gevolgde hyperlink" xfId="358" builtinId="9" hidden="1"/>
    <cellStyle name="Gevolgde hyperlink" xfId="360" builtinId="9" hidden="1"/>
    <cellStyle name="Gevolgde hyperlink" xfId="362" builtinId="9" hidden="1"/>
    <cellStyle name="Gevolgde hyperlink" xfId="364" builtinId="9" hidden="1"/>
    <cellStyle name="Gevolgde hyperlink" xfId="366" builtinId="9" hidden="1"/>
    <cellStyle name="Gevolgde hyperlink" xfId="368" builtinId="9" hidden="1"/>
    <cellStyle name="Gevolgde hyperlink" xfId="370" builtinId="9" hidden="1"/>
    <cellStyle name="Gevolgde hyperlink" xfId="372" builtinId="9" hidden="1"/>
    <cellStyle name="Gevolgde hyperlink" xfId="374" builtinId="9" hidden="1"/>
    <cellStyle name="Gevolgde hyperlink" xfId="376" builtinId="9" hidden="1"/>
    <cellStyle name="Gevolgde hyperlink" xfId="378" builtinId="9" hidden="1"/>
    <cellStyle name="Gevolgde hyperlink" xfId="380" builtinId="9" hidden="1"/>
    <cellStyle name="Gevolgde hyperlink" xfId="382" builtinId="9" hidden="1"/>
    <cellStyle name="Gevolgde hyperlink" xfId="384" builtinId="9" hidden="1"/>
    <cellStyle name="Gevolgde hyperlink" xfId="386" builtinId="9" hidden="1"/>
    <cellStyle name="Gevolgde hyperlink" xfId="388" builtinId="9" hidden="1"/>
    <cellStyle name="Gevolgde hyperlink" xfId="390" builtinId="9" hidden="1"/>
    <cellStyle name="Gevolgde hyperlink" xfId="392" builtinId="9" hidden="1"/>
    <cellStyle name="Gevolgde hyperlink" xfId="394" builtinId="9" hidden="1"/>
    <cellStyle name="Gevolgde hyperlink" xfId="396" builtinId="9" hidden="1"/>
    <cellStyle name="Gevolgde hyperlink" xfId="398" builtinId="9" hidden="1"/>
    <cellStyle name="Gevolgde hyperlink" xfId="400" builtinId="9" hidden="1"/>
    <cellStyle name="Gevolgde hyperlink" xfId="402" builtinId="9" hidden="1"/>
    <cellStyle name="Gevolgde hyperlink" xfId="404" builtinId="9" hidden="1"/>
    <cellStyle name="Gevolgde hyperlink" xfId="406" builtinId="9" hidden="1"/>
    <cellStyle name="Gevolgde hyperlink" xfId="408" builtinId="9" hidden="1"/>
    <cellStyle name="Gevolgde hyperlink" xfId="410" builtinId="9" hidden="1"/>
    <cellStyle name="Gevolgde hyperlink" xfId="412" builtinId="9" hidden="1"/>
    <cellStyle name="Gevolgde hyperlink" xfId="414" builtinId="9" hidden="1"/>
    <cellStyle name="Gevolgde hyperlink" xfId="416" builtinId="9" hidden="1"/>
    <cellStyle name="Gevolgde hyperlink" xfId="418" builtinId="9" hidden="1"/>
    <cellStyle name="Gevolgde hyperlink" xfId="420" builtinId="9" hidden="1"/>
    <cellStyle name="Gevolgde hyperlink" xfId="422" builtinId="9" hidden="1"/>
    <cellStyle name="Gevolgde hyperlink" xfId="424" builtinId="9" hidden="1"/>
    <cellStyle name="Gevolgde hyperlink" xfId="426" builtinId="9" hidden="1"/>
    <cellStyle name="Gevolgde hyperlink" xfId="428" builtinId="9" hidden="1"/>
    <cellStyle name="Gevolgde hyperlink" xfId="430" builtinId="9" hidden="1"/>
    <cellStyle name="Gevolgde hyperlink" xfId="432" builtinId="9" hidden="1"/>
    <cellStyle name="Gevolgde hyperlink" xfId="434" builtinId="9" hidden="1"/>
    <cellStyle name="Gevolgde hyperlink" xfId="436" builtinId="9" hidden="1"/>
    <cellStyle name="Gevolgde hyperlink" xfId="438" builtinId="9" hidden="1"/>
    <cellStyle name="Gevolgde hyperlink" xfId="440" builtinId="9" hidden="1"/>
    <cellStyle name="Gevolgde hyperlink" xfId="442" builtinId="9" hidden="1"/>
    <cellStyle name="Gevolgde hyperlink" xfId="444" builtinId="9" hidden="1"/>
    <cellStyle name="Gevolgde hyperlink" xfId="446" builtinId="9" hidden="1"/>
    <cellStyle name="Gevolgde hyperlink" xfId="448" builtinId="9" hidden="1"/>
    <cellStyle name="Gevolgde hyperlink" xfId="450" builtinId="9" hidden="1"/>
    <cellStyle name="Gevolgde hyperlink" xfId="452" builtinId="9" hidden="1"/>
    <cellStyle name="Gevolgde hyperlink" xfId="454" builtinId="9" hidden="1"/>
    <cellStyle name="Gevolgde hyperlink" xfId="456" builtinId="9" hidden="1"/>
    <cellStyle name="Gevolgde hyperlink" xfId="458" builtinId="9" hidden="1"/>
    <cellStyle name="Gevolgde hyperlink" xfId="460" builtinId="9" hidden="1"/>
    <cellStyle name="Gevolgde hyperlink" xfId="462" builtinId="9" hidden="1"/>
    <cellStyle name="Gevolgde hyperlink" xfId="464" builtinId="9" hidden="1"/>
    <cellStyle name="Gevolgde hyperlink" xfId="466" builtinId="9" hidden="1"/>
    <cellStyle name="Gevolgde hyperlink" xfId="468" builtinId="9" hidden="1"/>
    <cellStyle name="Gevolgde hyperlink" xfId="470" builtinId="9" hidden="1"/>
    <cellStyle name="Gevolgde hyperlink" xfId="472" builtinId="9" hidden="1"/>
    <cellStyle name="Gevolgde hyperlink" xfId="474" builtinId="9" hidden="1"/>
    <cellStyle name="Gevolgde hyperlink" xfId="476" builtinId="9" hidden="1"/>
    <cellStyle name="Gevolgde hyperlink" xfId="478" builtinId="9" hidden="1"/>
    <cellStyle name="Gevolgde hyperlink" xfId="480" builtinId="9" hidden="1"/>
    <cellStyle name="Gevolgde hyperlink" xfId="482" builtinId="9" hidden="1"/>
    <cellStyle name="Gevolgde hyperlink" xfId="484" builtinId="9" hidden="1"/>
    <cellStyle name="Gevolgde hyperlink" xfId="486" builtinId="9" hidden="1"/>
    <cellStyle name="Gevolgde hyperlink" xfId="488" builtinId="9" hidden="1"/>
    <cellStyle name="Gevolgde hyperlink" xfId="490" builtinId="9" hidden="1"/>
    <cellStyle name="Gevolgde hyperlink" xfId="492" builtinId="9" hidden="1"/>
    <cellStyle name="Gevolgde hyperlink" xfId="494" builtinId="9" hidden="1"/>
    <cellStyle name="Gevolgde hyperlink" xfId="496" builtinId="9" hidden="1"/>
    <cellStyle name="Gevolgde hyperlink" xfId="498" builtinId="9" hidden="1"/>
    <cellStyle name="Gevolgde hyperlink" xfId="500" builtinId="9" hidden="1"/>
    <cellStyle name="Gevolgde hyperlink" xfId="502" builtinId="9" hidden="1"/>
    <cellStyle name="Gevolgde hyperlink" xfId="504" builtinId="9" hidden="1"/>
    <cellStyle name="Gevolgde hyperlink" xfId="506" builtinId="9" hidden="1"/>
    <cellStyle name="Gevolgde hyperlink" xfId="508" builtinId="9" hidden="1"/>
    <cellStyle name="Gevolgde hyperlink" xfId="510" builtinId="9" hidden="1"/>
    <cellStyle name="Gevolgde hyperlink" xfId="512" builtinId="9" hidden="1"/>
    <cellStyle name="Gevolgde hyperlink" xfId="514" builtinId="9" hidden="1"/>
    <cellStyle name="Gevolgde hyperlink" xfId="516" builtinId="9" hidden="1"/>
    <cellStyle name="Gevolgde hyperlink" xfId="518" builtinId="9" hidden="1"/>
    <cellStyle name="Gevolgde hyperlink" xfId="520" builtinId="9" hidden="1"/>
    <cellStyle name="Gevolgde hyperlink" xfId="522" builtinId="9" hidden="1"/>
    <cellStyle name="Gevolgde hyperlink" xfId="524" builtinId="9" hidden="1"/>
    <cellStyle name="Gevolgde hyperlink" xfId="526" builtinId="9" hidden="1"/>
    <cellStyle name="Gevolgde hyperlink" xfId="528" builtinId="9" hidden="1"/>
    <cellStyle name="Gevolgde hyperlink" xfId="530" builtinId="9" hidden="1"/>
    <cellStyle name="Gevolgde hyperlink" xfId="532" builtinId="9" hidden="1"/>
    <cellStyle name="Gevolgde hyperlink" xfId="534" builtinId="9" hidden="1"/>
    <cellStyle name="Gevolgde hyperlink" xfId="536" builtinId="9" hidden="1"/>
    <cellStyle name="Gevolgde hyperlink" xfId="538" builtinId="9" hidden="1"/>
    <cellStyle name="Gevolgde hyperlink" xfId="540" builtinId="9" hidden="1"/>
    <cellStyle name="Gevolgde hyperlink" xfId="542" builtinId="9" hidden="1"/>
    <cellStyle name="Gevolgde hyperlink" xfId="544" builtinId="9" hidden="1"/>
    <cellStyle name="Gevolgde hyperlink" xfId="546" builtinId="9" hidden="1"/>
    <cellStyle name="Gevolgde hyperlink" xfId="548" builtinId="9" hidden="1"/>
    <cellStyle name="Gevolgde hyperlink" xfId="550" builtinId="9" hidden="1"/>
    <cellStyle name="Gevolgde hyperlink" xfId="552" builtinId="9" hidden="1"/>
    <cellStyle name="Gevolgde hyperlink" xfId="554" builtinId="9" hidden="1"/>
    <cellStyle name="Gevolgde hyperlink" xfId="556" builtinId="9" hidden="1"/>
    <cellStyle name="Gevolgde hyperlink" xfId="558" builtinId="9" hidden="1"/>
    <cellStyle name="Gevolgde hyperlink" xfId="560" builtinId="9" hidden="1"/>
    <cellStyle name="Gevolgde hyperlink" xfId="562" builtinId="9" hidden="1"/>
    <cellStyle name="Gevolgde hyperlink" xfId="564" builtinId="9" hidden="1"/>
    <cellStyle name="Gevolgde hyperlink" xfId="566" builtinId="9" hidden="1"/>
    <cellStyle name="Gevolgde hyperlink" xfId="568" builtinId="9" hidden="1"/>
    <cellStyle name="Gevolgde hyperlink" xfId="570" builtinId="9" hidden="1"/>
    <cellStyle name="Gevolgde hyperlink" xfId="572" builtinId="9" hidden="1"/>
    <cellStyle name="Gevolgde hyperlink" xfId="574" builtinId="9" hidden="1"/>
    <cellStyle name="Gevolgde hyperlink" xfId="576" builtinId="9" hidden="1"/>
    <cellStyle name="Gevolgde hyperlink" xfId="578" builtinId="9" hidden="1"/>
    <cellStyle name="Gevolgde hyperlink" xfId="580" builtinId="9" hidden="1"/>
    <cellStyle name="Gevolgde hyperlink" xfId="582" builtinId="9" hidden="1"/>
    <cellStyle name="Gevolgde hyperlink" xfId="584" builtinId="9" hidden="1"/>
    <cellStyle name="Gevolgde hyperlink" xfId="586" builtinId="9" hidden="1"/>
    <cellStyle name="Gevolgde hyperlink" xfId="588" builtinId="9" hidden="1"/>
    <cellStyle name="Gevolgde hyperlink" xfId="590" builtinId="9" hidden="1"/>
    <cellStyle name="Gevolgde hyperlink" xfId="592" builtinId="9" hidden="1"/>
    <cellStyle name="Gevolgde hyperlink" xfId="594" builtinId="9" hidden="1"/>
    <cellStyle name="Gevolgde hyperlink" xfId="596" builtinId="9" hidden="1"/>
    <cellStyle name="Gevolgde hyperlink" xfId="598" builtinId="9" hidden="1"/>
    <cellStyle name="Gevolgde hyperlink" xfId="600" builtinId="9" hidden="1"/>
    <cellStyle name="Gevolgde hyperlink" xfId="602" builtinId="9" hidden="1"/>
    <cellStyle name="Gevolgde hyperlink" xfId="604" builtinId="9" hidden="1"/>
    <cellStyle name="Gevolgde hyperlink" xfId="606" builtinId="9" hidden="1"/>
    <cellStyle name="Gevolgde hyperlink" xfId="608" builtinId="9" hidden="1"/>
    <cellStyle name="Gevolgde hyperlink" xfId="610" builtinId="9" hidden="1"/>
    <cellStyle name="Gevolgde hyperlink" xfId="612" builtinId="9" hidden="1"/>
    <cellStyle name="Gevolgde hyperlink" xfId="614" builtinId="9" hidden="1"/>
    <cellStyle name="Gevolgde hyperlink" xfId="616" builtinId="9" hidden="1"/>
    <cellStyle name="Gevolgde hyperlink" xfId="618" builtinId="9" hidden="1"/>
    <cellStyle name="Gevolgde hyperlink" xfId="620" builtinId="9" hidden="1"/>
    <cellStyle name="Gevolgde hyperlink" xfId="622" builtinId="9" hidden="1"/>
    <cellStyle name="Gevolgde hyperlink" xfId="624" builtinId="9" hidden="1"/>
    <cellStyle name="Gevolgde hyperlink" xfId="626" builtinId="9" hidden="1"/>
    <cellStyle name="Gevolgde hyperlink" xfId="628" builtinId="9" hidden="1"/>
    <cellStyle name="Gevolgde hyperlink" xfId="630" builtinId="9" hidden="1"/>
    <cellStyle name="Gevolgde hyperlink" xfId="632" builtinId="9" hidden="1"/>
    <cellStyle name="Gevolgde hyperlink" xfId="634" builtinId="9" hidden="1"/>
    <cellStyle name="Gevolgde hyperlink" xfId="636" builtinId="9" hidden="1"/>
    <cellStyle name="Gevolgde hyperlink" xfId="638" builtinId="9" hidden="1"/>
    <cellStyle name="Gevolgde hyperlink" xfId="640" builtinId="9" hidden="1"/>
    <cellStyle name="Gevolgde hyperlink" xfId="642" builtinId="9" hidden="1"/>
    <cellStyle name="Gevolgde hyperlink" xfId="644" builtinId="9" hidden="1"/>
    <cellStyle name="Gevolgde hyperlink" xfId="646" builtinId="9" hidden="1"/>
    <cellStyle name="Gevolgde hyperlink" xfId="648" builtinId="9" hidden="1"/>
    <cellStyle name="Gevolgde hyperlink" xfId="650" builtinId="9" hidden="1"/>
    <cellStyle name="Gevolgde hyperlink" xfId="652" builtinId="9" hidden="1"/>
    <cellStyle name="Gevolgde hyperlink" xfId="654" builtinId="9" hidden="1"/>
    <cellStyle name="Gevolgde hyperlink" xfId="656" builtinId="9" hidden="1"/>
    <cellStyle name="Gevolgde hyperlink" xfId="658" builtinId="9" hidden="1"/>
    <cellStyle name="Gevolgde hyperlink" xfId="660" builtinId="9" hidden="1"/>
    <cellStyle name="Gevolgde hyperlink" xfId="662" builtinId="9" hidden="1"/>
    <cellStyle name="Gevolgde hyperlink" xfId="664" builtinId="9" hidden="1"/>
    <cellStyle name="Gevolgde hyperlink" xfId="666" builtinId="9" hidden="1"/>
    <cellStyle name="Gevolgde hyperlink" xfId="668" builtinId="9" hidden="1"/>
    <cellStyle name="Gevolgde hyperlink" xfId="670" builtinId="9" hidden="1"/>
    <cellStyle name="Gevolgde hyperlink" xfId="672" builtinId="9" hidden="1"/>
    <cellStyle name="Gevolgde hyperlink" xfId="674" builtinId="9" hidden="1"/>
    <cellStyle name="Gevolgde hyperlink" xfId="676" builtinId="9" hidden="1"/>
    <cellStyle name="Gevolgde hyperlink" xfId="678" builtinId="9" hidden="1"/>
    <cellStyle name="Gevolgde hyperlink" xfId="680" builtinId="9" hidden="1"/>
    <cellStyle name="Gevolgde hyperlink" xfId="682" builtinId="9" hidden="1"/>
    <cellStyle name="Gevolgde hyperlink" xfId="684" builtinId="9" hidden="1"/>
    <cellStyle name="Gevolgde hyperlink" xfId="686" builtinId="9" hidden="1"/>
    <cellStyle name="Gevolgde hyperlink" xfId="688" builtinId="9" hidden="1"/>
    <cellStyle name="Gevolgde hyperlink" xfId="690" builtinId="9" hidden="1"/>
    <cellStyle name="Gevolgde hyperlink" xfId="692" builtinId="9" hidden="1"/>
    <cellStyle name="Gevolgde hyperlink" xfId="694" builtinId="9" hidden="1"/>
    <cellStyle name="Gevolgde hyperlink" xfId="696" builtinId="9" hidden="1"/>
    <cellStyle name="Gevolgde hyperlink" xfId="698" builtinId="9" hidden="1"/>
    <cellStyle name="Gevolgde hyperlink" xfId="700" builtinId="9" hidden="1"/>
    <cellStyle name="Gevolgde hyperlink" xfId="702" builtinId="9" hidden="1"/>
    <cellStyle name="Gevolgde hyperlink" xfId="704" builtinId="9" hidden="1"/>
    <cellStyle name="Gevolgde hyperlink" xfId="706" builtinId="9" hidden="1"/>
    <cellStyle name="Gevolgde hyperlink" xfId="708" builtinId="9" hidden="1"/>
    <cellStyle name="Gevolgde hyperlink" xfId="710" builtinId="9" hidden="1"/>
    <cellStyle name="Gevolgde hyperlink" xfId="712" builtinId="9" hidden="1"/>
    <cellStyle name="Gevolgde hyperlink" xfId="714" builtinId="9" hidden="1"/>
    <cellStyle name="Gevolgde hyperlink" xfId="716" builtinId="9" hidden="1"/>
    <cellStyle name="Gevolgde hyperlink" xfId="718" builtinId="9" hidden="1"/>
    <cellStyle name="Gevolgde hyperlink" xfId="720" builtinId="9" hidden="1"/>
    <cellStyle name="Gevolgde hyperlink" xfId="722" builtinId="9" hidden="1"/>
    <cellStyle name="Gevolgde hyperlink" xfId="724" builtinId="9" hidden="1"/>
    <cellStyle name="Gevolgde hyperlink" xfId="726" builtinId="9" hidden="1"/>
    <cellStyle name="Gevolgde hyperlink" xfId="728" builtinId="9" hidden="1"/>
    <cellStyle name="Gevolgde hyperlink" xfId="730" builtinId="9" hidden="1"/>
    <cellStyle name="Gevolgde hyperlink" xfId="732" builtinId="9" hidden="1"/>
    <cellStyle name="Gevolgde hyperlink" xfId="734" builtinId="9" hidden="1"/>
    <cellStyle name="Gevolgde hyperlink" xfId="736" builtinId="9" hidden="1"/>
    <cellStyle name="Gevolgde hyperlink" xfId="738" builtinId="9" hidden="1"/>
    <cellStyle name="Gevolgde hyperlink" xfId="740" builtinId="9" hidden="1"/>
    <cellStyle name="Gevolgde hyperlink" xfId="742" builtinId="9" hidden="1"/>
    <cellStyle name="Gevolgde hyperlink" xfId="744" builtinId="9" hidden="1"/>
    <cellStyle name="Gevolgde hyperlink" xfId="746" builtinId="9" hidden="1"/>
    <cellStyle name="Gevolgde hyperlink" xfId="748" builtinId="9" hidden="1"/>
    <cellStyle name="Gevolgde hyperlink" xfId="750" builtinId="9" hidden="1"/>
    <cellStyle name="Gevolgde hyperlink" xfId="752" builtinId="9" hidden="1"/>
    <cellStyle name="Gevolgde hyperlink" xfId="754" builtinId="9" hidden="1"/>
    <cellStyle name="Gevolgde hyperlink" xfId="756" builtinId="9" hidden="1"/>
    <cellStyle name="Gevolgde hyperlink" xfId="758" builtinId="9" hidden="1"/>
    <cellStyle name="Gevolgde hyperlink" xfId="760" builtinId="9" hidden="1"/>
    <cellStyle name="Gevolgde hyperlink" xfId="762" builtinId="9" hidden="1"/>
    <cellStyle name="Gevolgde hyperlink" xfId="764" builtinId="9" hidden="1"/>
    <cellStyle name="Gevolgde hyperlink" xfId="766" builtinId="9" hidden="1"/>
    <cellStyle name="Gevolgde hyperlink" xfId="768" builtinId="9" hidden="1"/>
    <cellStyle name="Gevolgde hyperlink" xfId="770" builtinId="9" hidden="1"/>
    <cellStyle name="Gevolgde hyperlink" xfId="772" builtinId="9" hidden="1"/>
    <cellStyle name="Gevolgde hyperlink" xfId="774" builtinId="9" hidden="1"/>
    <cellStyle name="Gevolgde hyperlink" xfId="776" builtinId="9" hidden="1"/>
    <cellStyle name="Gevolgde hyperlink" xfId="778" builtinId="9" hidden="1"/>
    <cellStyle name="Gevolgde hyperlink" xfId="780" builtinId="9" hidden="1"/>
    <cellStyle name="Gevolgde hyperlink" xfId="782" builtinId="9" hidden="1"/>
    <cellStyle name="Gevolgde hyperlink" xfId="784" builtinId="9" hidden="1"/>
    <cellStyle name="Gevolgde hyperlink" xfId="786" builtinId="9" hidden="1"/>
    <cellStyle name="Gevolgde hyperlink" xfId="788" builtinId="9" hidden="1"/>
    <cellStyle name="Gevolgde hyperlink" xfId="790" builtinId="9" hidden="1"/>
    <cellStyle name="Gevolgde hyperlink" xfId="792" builtinId="9" hidden="1"/>
    <cellStyle name="Gevolgde hyperlink" xfId="794" builtinId="9" hidden="1"/>
    <cellStyle name="Gevolgde hyperlink" xfId="796" builtinId="9" hidden="1"/>
    <cellStyle name="Gevolgde hyperlink" xfId="798" builtinId="9" hidden="1"/>
    <cellStyle name="Gevolgde hyperlink" xfId="800" builtinId="9" hidden="1"/>
    <cellStyle name="Gevolgde hyperlink" xfId="802" builtinId="9" hidden="1"/>
    <cellStyle name="Gevolgde hyperlink" xfId="804" builtinId="9" hidden="1"/>
    <cellStyle name="Gevolgde hyperlink" xfId="806" builtinId="9" hidden="1"/>
    <cellStyle name="Gevolgde hyperlink" xfId="808" builtinId="9" hidden="1"/>
    <cellStyle name="Gevolgde hyperlink" xfId="810" builtinId="9" hidden="1"/>
    <cellStyle name="Gevolgde hyperlink" xfId="812" builtinId="9" hidden="1"/>
    <cellStyle name="Gevolgde hyperlink" xfId="814" builtinId="9" hidden="1"/>
    <cellStyle name="Gevolgde hyperlink" xfId="816" builtinId="9" hidden="1"/>
    <cellStyle name="Gevolgde hyperlink" xfId="818" builtinId="9" hidden="1"/>
    <cellStyle name="Gevolgde hyperlink" xfId="820" builtinId="9" hidden="1"/>
    <cellStyle name="Gevolgde hyperlink" xfId="822" builtinId="9" hidden="1"/>
    <cellStyle name="Gevolgde hyperlink" xfId="824" builtinId="9" hidden="1"/>
    <cellStyle name="Gevolgde hyperlink" xfId="826" builtinId="9" hidden="1"/>
    <cellStyle name="Gevolgde hyperlink" xfId="828" builtinId="9" hidden="1"/>
    <cellStyle name="Gevolgde hyperlink" xfId="830" builtinId="9" hidden="1"/>
    <cellStyle name="Gevolgde hyperlink" xfId="832" builtinId="9" hidden="1"/>
    <cellStyle name="Gevolgde hyperlink" xfId="834" builtinId="9" hidden="1"/>
    <cellStyle name="Gevolgde hyperlink" xfId="836" builtinId="9" hidden="1"/>
    <cellStyle name="Gevolgde hyperlink" xfId="838" builtinId="9" hidden="1"/>
    <cellStyle name="Gevolgde hyperlink" xfId="840" builtinId="9" hidden="1"/>
    <cellStyle name="Gevolgde hyperlink" xfId="842" builtinId="9" hidden="1"/>
    <cellStyle name="Gevolgde hyperlink" xfId="844" builtinId="9" hidden="1"/>
    <cellStyle name="Gevolgde hyperlink" xfId="846" builtinId="9" hidden="1"/>
    <cellStyle name="Gevolgde hyperlink" xfId="848" builtinId="9" hidden="1"/>
    <cellStyle name="Gevolgde hyperlink" xfId="850" builtinId="9" hidden="1"/>
    <cellStyle name="Gevolgde hyperlink" xfId="852" builtinId="9" hidden="1"/>
    <cellStyle name="Gevolgde hyperlink" xfId="854" builtinId="9" hidden="1"/>
    <cellStyle name="Gevolgde hyperlink" xfId="856" builtinId="9" hidden="1"/>
    <cellStyle name="Gevolgde hyperlink" xfId="858" builtinId="9" hidden="1"/>
    <cellStyle name="Gevolgde hyperlink" xfId="860" builtinId="9" hidden="1"/>
    <cellStyle name="Gevolgde hyperlink" xfId="862" builtinId="9" hidden="1"/>
    <cellStyle name="Gevolgde hyperlink" xfId="864" builtinId="9" hidden="1"/>
    <cellStyle name="Gevolgde hyperlink" xfId="866" builtinId="9" hidden="1"/>
    <cellStyle name="Gevolgde hyperlink" xfId="868" builtinId="9" hidden="1"/>
    <cellStyle name="Gevolgde hyperlink" xfId="870" builtinId="9" hidden="1"/>
    <cellStyle name="Gevolgde hyperlink" xfId="872" builtinId="9" hidden="1"/>
    <cellStyle name="Gevolgde hyperlink" xfId="874" builtinId="9" hidden="1"/>
    <cellStyle name="Gevolgde hyperlink" xfId="876" builtinId="9" hidden="1"/>
    <cellStyle name="Gevolgde hyperlink" xfId="878" builtinId="9" hidden="1"/>
    <cellStyle name="Gevolgde hyperlink" xfId="880" builtinId="9" hidden="1"/>
    <cellStyle name="Gevolgde hyperlink" xfId="882" builtinId="9" hidden="1"/>
    <cellStyle name="Gevolgde hyperlink" xfId="884" builtinId="9" hidden="1"/>
    <cellStyle name="Gevolgde hyperlink" xfId="886" builtinId="9" hidden="1"/>
    <cellStyle name="Gevolgde hyperlink" xfId="888" builtinId="9" hidden="1"/>
    <cellStyle name="Gevolgde hyperlink" xfId="890" builtinId="9" hidden="1"/>
    <cellStyle name="Gevolgde hyperlink" xfId="892" builtinId="9" hidden="1"/>
    <cellStyle name="Gevolgde hyperlink" xfId="894" builtinId="9" hidden="1"/>
    <cellStyle name="Gevolgde hyperlink" xfId="896" builtinId="9" hidden="1"/>
    <cellStyle name="Gevolgde hyperlink" xfId="898" builtinId="9" hidden="1"/>
    <cellStyle name="Gevolgde hyperlink" xfId="900" builtinId="9" hidden="1"/>
    <cellStyle name="Gevolgde hyperlink" xfId="902" builtinId="9" hidden="1"/>
    <cellStyle name="Gevolgde hyperlink" xfId="904" builtinId="9" hidden="1"/>
    <cellStyle name="Gevolgde hyperlink" xfId="906" builtinId="9" hidden="1"/>
    <cellStyle name="Gevolgde hyperlink" xfId="908" builtinId="9" hidden="1"/>
    <cellStyle name="Gevolgde hyperlink" xfId="910" builtinId="9" hidden="1"/>
    <cellStyle name="Gevolgde hyperlink" xfId="912" builtinId="9" hidden="1"/>
    <cellStyle name="Gevolgde hyperlink" xfId="914" builtinId="9" hidden="1"/>
    <cellStyle name="Gevolgde hyperlink" xfId="916" builtinId="9" hidden="1"/>
    <cellStyle name="Gevolgde hyperlink" xfId="918" builtinId="9" hidden="1"/>
    <cellStyle name="Gevolgde hyperlink" xfId="920" builtinId="9" hidden="1"/>
    <cellStyle name="Gevolgde hyperlink" xfId="922" builtinId="9" hidden="1"/>
    <cellStyle name="Gevolgde hyperlink" xfId="924" builtinId="9" hidden="1"/>
    <cellStyle name="Gevolgde hyperlink" xfId="926" builtinId="9" hidden="1"/>
    <cellStyle name="Gevolgde hyperlink" xfId="928" builtinId="9" hidden="1"/>
    <cellStyle name="Gevolgde hyperlink" xfId="930" builtinId="9" hidden="1"/>
    <cellStyle name="Gevolgde hyperlink" xfId="932" builtinId="9" hidden="1"/>
    <cellStyle name="Gevolgde hyperlink" xfId="934" builtinId="9" hidden="1"/>
    <cellStyle name="Gevolgde hyperlink" xfId="936" builtinId="9" hidden="1"/>
    <cellStyle name="Gevolgde hyperlink" xfId="938" builtinId="9" hidden="1"/>
    <cellStyle name="Gevolgde hyperlink" xfId="940" builtinId="9" hidden="1"/>
    <cellStyle name="Gevolgde hyperlink" xfId="942" builtinId="9" hidden="1"/>
    <cellStyle name="Gevolgde hyperlink" xfId="944" builtinId="9" hidden="1"/>
    <cellStyle name="Gevolgde hyperlink" xfId="946" builtinId="9" hidden="1"/>
    <cellStyle name="Gevolgde hyperlink" xfId="948" builtinId="9" hidden="1"/>
    <cellStyle name="Gevolgde hyperlink" xfId="950" builtinId="9" hidden="1"/>
    <cellStyle name="Gevolgde hyperlink" xfId="952" builtinId="9" hidden="1"/>
    <cellStyle name="Gevolgde hyperlink" xfId="954" builtinId="9" hidden="1"/>
    <cellStyle name="Gevolgde hyperlink" xfId="956" builtinId="9" hidden="1"/>
    <cellStyle name="Gevolgde hyperlink" xfId="958" builtinId="9" hidden="1"/>
    <cellStyle name="Gevolgde hyperlink" xfId="960" builtinId="9" hidden="1"/>
    <cellStyle name="Gevolgde hyperlink" xfId="962" builtinId="9" hidden="1"/>
    <cellStyle name="Gevolgde hyperlink" xfId="964" builtinId="9" hidden="1"/>
    <cellStyle name="Gevolgde hyperlink" xfId="966" builtinId="9" hidden="1"/>
    <cellStyle name="Gevolgde hyperlink" xfId="968" builtinId="9" hidden="1"/>
    <cellStyle name="Gevolgde hyperlink" xfId="970" builtinId="9" hidden="1"/>
    <cellStyle name="Gevolgde hyperlink" xfId="972" builtinId="9" hidden="1"/>
    <cellStyle name="Gevolgde hyperlink" xfId="974" builtinId="9" hidden="1"/>
    <cellStyle name="Gevolgde hyperlink" xfId="976" builtinId="9" hidden="1"/>
    <cellStyle name="Gevolgde hyperlink" xfId="978" builtinId="9" hidden="1"/>
    <cellStyle name="Gevolgde hyperlink" xfId="980" builtinId="9" hidden="1"/>
    <cellStyle name="Gevolgde hyperlink" xfId="982" builtinId="9" hidden="1"/>
    <cellStyle name="Gevolgde hyperlink" xfId="984" builtinId="9" hidden="1"/>
    <cellStyle name="Gevolgde hyperlink" xfId="986" builtinId="9" hidden="1"/>
    <cellStyle name="Gevolgde hyperlink" xfId="988" builtinId="9" hidden="1"/>
    <cellStyle name="Gevolgde hyperlink" xfId="990" builtinId="9" hidden="1"/>
    <cellStyle name="Gevolgde hyperlink" xfId="992" builtinId="9" hidden="1"/>
    <cellStyle name="Gevolgde hyperlink" xfId="994" builtinId="9" hidden="1"/>
    <cellStyle name="Gevolgde hyperlink" xfId="996" builtinId="9" hidden="1"/>
    <cellStyle name="Gevolgde hyperlink" xfId="998" builtinId="9" hidden="1"/>
    <cellStyle name="Gevolgde hyperlink" xfId="1000" builtinId="9" hidden="1"/>
    <cellStyle name="Gevolgde hyperlink" xfId="1002" builtinId="9" hidden="1"/>
    <cellStyle name="Gevolgde hyperlink" xfId="1004" builtinId="9" hidden="1"/>
    <cellStyle name="Gevolgde hyperlink" xfId="1006" builtinId="9" hidden="1"/>
    <cellStyle name="Gevolgde hyperlink" xfId="1008" builtinId="9" hidden="1"/>
    <cellStyle name="Gevolgde hyperlink" xfId="1010" builtinId="9" hidden="1"/>
    <cellStyle name="Gevolgde hyperlink" xfId="1012" builtinId="9" hidden="1"/>
    <cellStyle name="Gevolgde hyperlink" xfId="1014" builtinId="9" hidden="1"/>
    <cellStyle name="Gevolgde hyperlink" xfId="1016" builtinId="9" hidden="1"/>
    <cellStyle name="Gevolgde hyperlink" xfId="1018" builtinId="9" hidden="1"/>
    <cellStyle name="Gevolgde hyperlink" xfId="1020" builtinId="9" hidden="1"/>
    <cellStyle name="Gevolgde hyperlink" xfId="1022" builtinId="9" hidden="1"/>
    <cellStyle name="Gevolgde hyperlink" xfId="1024" builtinId="9" hidden="1"/>
    <cellStyle name="Gevolgde hyperlink" xfId="1026" builtinId="9" hidden="1"/>
    <cellStyle name="Gevolgde hyperlink" xfId="1028" builtinId="9" hidden="1"/>
    <cellStyle name="Gevolgde hyperlink" xfId="1030" builtinId="9" hidden="1"/>
    <cellStyle name="Gevolgde hyperlink" xfId="1032" builtinId="9" hidden="1"/>
    <cellStyle name="Gevolgde hyperlink" xfId="1034" builtinId="9" hidden="1"/>
    <cellStyle name="Gevolgde hyperlink" xfId="1036" builtinId="9" hidden="1"/>
    <cellStyle name="Gevolgde hyperlink" xfId="1038" builtinId="9" hidden="1"/>
    <cellStyle name="Gevolgde hyperlink" xfId="1040" builtinId="9" hidden="1"/>
    <cellStyle name="Gevolgde hyperlink" xfId="1042" builtinId="9" hidden="1"/>
    <cellStyle name="Gevolgde hyperlink" xfId="1044" builtinId="9" hidden="1"/>
    <cellStyle name="Gevolgde hyperlink" xfId="1046" builtinId="9" hidden="1"/>
    <cellStyle name="Gevolgde hyperlink" xfId="1048" builtinId="9" hidden="1"/>
    <cellStyle name="Gevolgde hyperlink" xfId="1050" builtinId="9" hidden="1"/>
    <cellStyle name="Gevolgde hyperlink" xfId="1052" builtinId="9" hidden="1"/>
    <cellStyle name="Gevolgde hyperlink" xfId="1054" builtinId="9" hidden="1"/>
    <cellStyle name="Gevolgde hyperlink" xfId="1056" builtinId="9" hidden="1"/>
    <cellStyle name="Gevolgde hyperlink" xfId="1058" builtinId="9" hidden="1"/>
    <cellStyle name="Gevolgde hyperlink" xfId="1060" builtinId="9" hidden="1"/>
    <cellStyle name="Gevolgde hyperlink" xfId="1062" builtinId="9" hidden="1"/>
    <cellStyle name="Gevolgde hyperlink" xfId="1064" builtinId="9" hidden="1"/>
    <cellStyle name="Gevolgde hyperlink" xfId="1066" builtinId="9" hidden="1"/>
    <cellStyle name="Gevolgde hyperlink" xfId="1068" builtinId="9" hidden="1"/>
    <cellStyle name="Gevolgde hyperlink" xfId="1070" builtinId="9" hidden="1"/>
    <cellStyle name="Gevolgde hyperlink" xfId="1072" builtinId="9" hidden="1"/>
    <cellStyle name="Gevolgde hyperlink" xfId="1074" builtinId="9" hidden="1"/>
    <cellStyle name="Gevolgde hyperlink" xfId="1076" builtinId="9" hidden="1"/>
    <cellStyle name="Gevolgde hyperlink" xfId="1078" builtinId="9" hidden="1"/>
    <cellStyle name="Gevolgde hyperlink" xfId="1080" builtinId="9" hidden="1"/>
    <cellStyle name="Gevolgde hyperlink" xfId="1082" builtinId="9" hidden="1"/>
    <cellStyle name="Gevolgde hyperlink" xfId="1084" builtinId="9" hidden="1"/>
    <cellStyle name="Gevolgde hyperlink" xfId="1086" builtinId="9" hidden="1"/>
    <cellStyle name="Gevolgde hyperlink" xfId="1088" builtinId="9" hidden="1"/>
    <cellStyle name="Gevolgde hyperlink" xfId="1090" builtinId="9" hidden="1"/>
    <cellStyle name="Gevolgde hyperlink" xfId="1092" builtinId="9" hidden="1"/>
    <cellStyle name="Gevolgde hyperlink" xfId="1094" builtinId="9" hidden="1"/>
    <cellStyle name="Gevolgde hyperlink" xfId="1096" builtinId="9" hidden="1"/>
    <cellStyle name="Gevolgde hyperlink" xfId="1098" builtinId="9" hidden="1"/>
    <cellStyle name="Gevolgde hyperlink" xfId="1100" builtinId="9" hidden="1"/>
    <cellStyle name="Gevolgde hyperlink" xfId="1102" builtinId="9" hidden="1"/>
    <cellStyle name="Gevolgde hyperlink" xfId="1104" builtinId="9" hidden="1"/>
    <cellStyle name="Gevolgde hyperlink" xfId="1106" builtinId="9" hidden="1"/>
    <cellStyle name="Gevolgde hyperlink" xfId="1108" builtinId="9" hidden="1"/>
    <cellStyle name="Gevolgde hyperlink" xfId="1110" builtinId="9" hidden="1"/>
    <cellStyle name="Gevolgde hyperlink" xfId="1112" builtinId="9" hidden="1"/>
    <cellStyle name="Gevolgde hyperlink" xfId="1114" builtinId="9" hidden="1"/>
    <cellStyle name="Gevolgde hyperlink" xfId="1116" builtinId="9" hidden="1"/>
    <cellStyle name="Gevolgde hyperlink" xfId="1118" builtinId="9" hidden="1"/>
    <cellStyle name="Gevolgde hyperlink" xfId="1120" builtinId="9" hidden="1"/>
    <cellStyle name="Gevolgde hyperlink" xfId="1122" builtinId="9" hidden="1"/>
    <cellStyle name="Gevolgde hyperlink" xfId="1124" builtinId="9" hidden="1"/>
    <cellStyle name="Gevolgde hyperlink" xfId="1126" builtinId="9" hidden="1"/>
    <cellStyle name="Gevolgde hyperlink" xfId="1128" builtinId="9" hidden="1"/>
    <cellStyle name="Gevolgde hyperlink" xfId="1130" builtinId="9" hidden="1"/>
    <cellStyle name="Gevolgde hyperlink" xfId="1132" builtinId="9" hidden="1"/>
    <cellStyle name="Gevolgde hyperlink" xfId="1134" builtinId="9" hidden="1"/>
    <cellStyle name="Gevolgde hyperlink" xfId="1136" builtinId="9" hidden="1"/>
    <cellStyle name="Gevolgde hyperlink" xfId="1138" builtinId="9" hidden="1"/>
    <cellStyle name="Gevolgde hyperlink" xfId="1140" builtinId="9" hidden="1"/>
    <cellStyle name="Gevolgde hyperlink" xfId="1142" builtinId="9" hidden="1"/>
    <cellStyle name="Gevolgde hyperlink" xfId="1144" builtinId="9" hidden="1"/>
    <cellStyle name="Gevolgde hyperlink" xfId="1146" builtinId="9" hidden="1"/>
    <cellStyle name="Gevolgde hyperlink" xfId="1148" builtinId="9" hidden="1"/>
    <cellStyle name="Gevolgde hyperlink" xfId="1150" builtinId="9" hidden="1"/>
    <cellStyle name="Gevolgde hyperlink" xfId="1152" builtinId="9" hidden="1"/>
    <cellStyle name="Gevolgde hyperlink" xfId="1154" builtinId="9" hidden="1"/>
    <cellStyle name="Gevolgde hyperlink" xfId="1156" builtinId="9" hidden="1"/>
    <cellStyle name="Gevolgde hyperlink" xfId="1158" builtinId="9" hidden="1"/>
    <cellStyle name="Gevolgde hyperlink" xfId="1160" builtinId="9" hidden="1"/>
    <cellStyle name="Gevolgde hyperlink" xfId="1162" builtinId="9" hidden="1"/>
    <cellStyle name="Gevolgde hyperlink" xfId="1164" builtinId="9" hidden="1"/>
    <cellStyle name="Gevolgde hyperlink" xfId="1166" builtinId="9" hidden="1"/>
    <cellStyle name="Gevolgde hyperlink" xfId="1168" builtinId="9" hidden="1"/>
    <cellStyle name="Gevolgde hyperlink" xfId="1170" builtinId="9" hidden="1"/>
    <cellStyle name="Gevolgde hyperlink" xfId="1172" builtinId="9" hidden="1"/>
    <cellStyle name="Gevolgde hyperlink" xfId="1174" builtinId="9" hidden="1"/>
    <cellStyle name="Gevolgde hyperlink" xfId="1176" builtinId="9" hidden="1"/>
    <cellStyle name="Gevolgde hyperlink" xfId="1178" builtinId="9" hidden="1"/>
    <cellStyle name="Gevolgde hyperlink" xfId="1180" builtinId="9" hidden="1"/>
    <cellStyle name="Gevolgde hyperlink" xfId="1182" builtinId="9" hidden="1"/>
    <cellStyle name="Gevolgde hyperlink" xfId="1184" builtinId="9" hidden="1"/>
    <cellStyle name="Gevolgde hyperlink" xfId="1186" builtinId="9" hidden="1"/>
    <cellStyle name="Gevolgde hyperlink" xfId="1188" builtinId="9" hidden="1"/>
    <cellStyle name="Gevolgde hyperlink" xfId="1190" builtinId="9" hidden="1"/>
    <cellStyle name="Gevolgde hyperlink" xfId="1192" builtinId="9" hidden="1"/>
    <cellStyle name="Gevolgde hyperlink" xfId="1194" builtinId="9" hidden="1"/>
    <cellStyle name="Gevolgde hyperlink" xfId="1196" builtinId="9" hidden="1"/>
    <cellStyle name="Gevolgde hyperlink" xfId="1198" builtinId="9" hidden="1"/>
    <cellStyle name="Gevolgde hyperlink" xfId="1200" builtinId="9" hidden="1"/>
    <cellStyle name="Gevolgde hyperlink" xfId="1202" builtinId="9" hidden="1"/>
    <cellStyle name="Gevolgde hyperlink" xfId="1204" builtinId="9" hidden="1"/>
    <cellStyle name="Gevolgde hyperlink" xfId="1206" builtinId="9" hidden="1"/>
    <cellStyle name="Gevolgde hyperlink" xfId="1208" builtinId="9" hidden="1"/>
    <cellStyle name="Gevolgde hyperlink" xfId="1210" builtinId="9" hidden="1"/>
    <cellStyle name="Gevolgde hyperlink" xfId="1212" builtinId="9" hidden="1"/>
    <cellStyle name="Gevolgde hyperlink" xfId="1214" builtinId="9" hidden="1"/>
    <cellStyle name="Gevolgde hyperlink" xfId="1216" builtinId="9" hidden="1"/>
    <cellStyle name="Gevolgde hyperlink" xfId="1218" builtinId="9" hidden="1"/>
    <cellStyle name="Gevolgde hyperlink" xfId="1220" builtinId="9" hidden="1"/>
    <cellStyle name="Gevolgde hyperlink" xfId="1222" builtinId="9" hidden="1"/>
    <cellStyle name="Gevolgde hyperlink" xfId="1224" builtinId="9" hidden="1"/>
    <cellStyle name="Gevolgde hyperlink" xfId="1226" builtinId="9" hidden="1"/>
    <cellStyle name="Gevolgde hyperlink" xfId="1228" builtinId="9" hidden="1"/>
    <cellStyle name="Gevolgde hyperlink" xfId="1230" builtinId="9" hidden="1"/>
    <cellStyle name="Gevolgde hyperlink" xfId="1232" builtinId="9" hidden="1"/>
    <cellStyle name="Gevolgde hyperlink" xfId="1234" builtinId="9" hidden="1"/>
    <cellStyle name="Gevolgde hyperlink" xfId="1236" builtinId="9" hidden="1"/>
    <cellStyle name="Gevolgde hyperlink" xfId="1238" builtinId="9" hidden="1"/>
    <cellStyle name="Gevolgde hyperlink" xfId="1240" builtinId="9" hidden="1"/>
    <cellStyle name="Gevolgde hyperlink" xfId="1242" builtinId="9" hidden="1"/>
    <cellStyle name="Gevolgde hyperlink" xfId="1244" builtinId="9" hidden="1"/>
    <cellStyle name="Gevolgde hyperlink" xfId="1246" builtinId="9" hidden="1"/>
    <cellStyle name="Gevolgde hyperlink" xfId="1248" builtinId="9" hidden="1"/>
    <cellStyle name="Gevolgde hyperlink" xfId="1250" builtinId="9" hidden="1"/>
    <cellStyle name="Gevolgde hyperlink" xfId="1252" builtinId="9" hidden="1"/>
    <cellStyle name="Gevolgde hyperlink" xfId="1254" builtinId="9" hidden="1"/>
    <cellStyle name="Gevolgde hyperlink" xfId="1256" builtinId="9" hidden="1"/>
    <cellStyle name="Gevolgde hyperlink" xfId="1258" builtinId="9" hidden="1"/>
    <cellStyle name="Gevolgde hyperlink" xfId="1260" builtinId="9" hidden="1"/>
    <cellStyle name="Gevolgde hyperlink" xfId="1262" builtinId="9" hidden="1"/>
    <cellStyle name="Gevolgde hyperlink" xfId="1264" builtinId="9" hidden="1"/>
    <cellStyle name="Gevolgde hyperlink" xfId="1266" builtinId="9" hidden="1"/>
    <cellStyle name="Gevolgde hyperlink" xfId="1268" builtinId="9" hidden="1"/>
    <cellStyle name="Gevolgde hyperlink" xfId="1270" builtinId="9" hidden="1"/>
    <cellStyle name="Gevolgde hyperlink" xfId="1272" builtinId="9" hidden="1"/>
    <cellStyle name="Gevolgde hyperlink" xfId="1274" builtinId="9" hidden="1"/>
    <cellStyle name="Gevolgde hyperlink" xfId="1276" builtinId="9" hidden="1"/>
    <cellStyle name="Gevolgde hyperlink" xfId="1278" builtinId="9" hidden="1"/>
    <cellStyle name="Gevolgde hyperlink" xfId="1280" builtinId="9" hidden="1"/>
    <cellStyle name="Gevolgde hyperlink" xfId="1282" builtinId="9" hidden="1"/>
    <cellStyle name="Gevolgde hyperlink" xfId="1284" builtinId="9" hidden="1"/>
    <cellStyle name="Gevolgde hyperlink" xfId="1286" builtinId="9" hidden="1"/>
    <cellStyle name="Gevolgde hyperlink" xfId="1288" builtinId="9" hidden="1"/>
    <cellStyle name="Gevolgde hyperlink" xfId="1290" builtinId="9" hidden="1"/>
    <cellStyle name="Gevolgde hyperlink" xfId="1292" builtinId="9" hidden="1"/>
    <cellStyle name="Gevolgde hyperlink" xfId="1294" builtinId="9" hidden="1"/>
    <cellStyle name="Gevolgde hyperlink" xfId="1296" builtinId="9" hidden="1"/>
    <cellStyle name="Gevolgde hyperlink" xfId="1298" builtinId="9" hidden="1"/>
    <cellStyle name="Gevolgde hyperlink" xfId="1300" builtinId="9" hidden="1"/>
    <cellStyle name="Gevolgde hyperlink" xfId="1302" builtinId="9" hidden="1"/>
    <cellStyle name="Gevolgde hyperlink" xfId="1304" builtinId="9" hidden="1"/>
    <cellStyle name="Gevolgde hyperlink" xfId="1306" builtinId="9" hidden="1"/>
    <cellStyle name="Gevolgde hyperlink" xfId="1308" builtinId="9" hidden="1"/>
    <cellStyle name="Gevolgde hyperlink" xfId="1310" builtinId="9" hidden="1"/>
    <cellStyle name="Gevolgde hyperlink" xfId="1312" builtinId="9" hidden="1"/>
    <cellStyle name="Gevolgde hyperlink" xfId="1314" builtinId="9" hidden="1"/>
    <cellStyle name="Gevolgde hyperlink" xfId="1316" builtinId="9" hidden="1"/>
    <cellStyle name="Gevolgde hyperlink" xfId="1318" builtinId="9" hidden="1"/>
    <cellStyle name="Gevolgde hyperlink" xfId="1320" builtinId="9" hidden="1"/>
    <cellStyle name="Gevolgde hyperlink" xfId="1322" builtinId="9" hidden="1"/>
    <cellStyle name="Gevolgde hyperlink" xfId="1324" builtinId="9" hidden="1"/>
    <cellStyle name="Gevolgde hyperlink" xfId="1326" builtinId="9" hidden="1"/>
    <cellStyle name="Gevolgde hyperlink" xfId="1328" builtinId="9" hidden="1"/>
    <cellStyle name="Gevolgde hyperlink" xfId="1330" builtinId="9" hidden="1"/>
    <cellStyle name="Gevolgde hyperlink" xfId="1332" builtinId="9" hidden="1"/>
    <cellStyle name="Gevolgde hyperlink" xfId="1334" builtinId="9" hidden="1"/>
    <cellStyle name="Gevolgde hyperlink" xfId="1336" builtinId="9" hidden="1"/>
    <cellStyle name="Gevolgde hyperlink" xfId="1338" builtinId="9" hidden="1"/>
    <cellStyle name="Gevolgde hyperlink" xfId="1340" builtinId="9" hidden="1"/>
    <cellStyle name="Gevolgde hyperlink" xfId="1342" builtinId="9" hidden="1"/>
    <cellStyle name="Gevolgde hyperlink" xfId="1344" builtinId="9" hidden="1"/>
    <cellStyle name="Gevolgde hyperlink" xfId="1346" builtinId="9" hidden="1"/>
    <cellStyle name="Gevolgde hyperlink" xfId="1348" builtinId="9" hidden="1"/>
    <cellStyle name="Gevolgde hyperlink" xfId="1350" builtinId="9" hidden="1"/>
    <cellStyle name="Gevolgde hyperlink" xfId="1352" builtinId="9" hidden="1"/>
    <cellStyle name="Gevolgde hyperlink" xfId="1354" builtinId="9" hidden="1"/>
    <cellStyle name="Gevolgde hyperlink" xfId="1356" builtinId="9" hidden="1"/>
    <cellStyle name="Gevolgde hyperlink" xfId="1358" builtinId="9" hidden="1"/>
    <cellStyle name="Gevolgde hyperlink" xfId="1360" builtinId="9" hidden="1"/>
    <cellStyle name="Gevolgde hyperlink" xfId="1362" builtinId="9" hidden="1"/>
    <cellStyle name="Gevolgde hyperlink" xfId="1364" builtinId="9" hidden="1"/>
    <cellStyle name="Gevolgde hyperlink" xfId="1366" builtinId="9" hidden="1"/>
    <cellStyle name="Gevolgde hyperlink" xfId="1368" builtinId="9" hidden="1"/>
    <cellStyle name="Gevolgde hyperlink" xfId="1370" builtinId="9" hidden="1"/>
    <cellStyle name="Gevolgde hyperlink" xfId="1372" builtinId="9" hidden="1"/>
    <cellStyle name="Gevolgde hyperlink" xfId="1374" builtinId="9" hidden="1"/>
    <cellStyle name="Gevolgde hyperlink" xfId="1376" builtinId="9" hidden="1"/>
    <cellStyle name="Gevolgde hyperlink" xfId="1378" builtinId="9" hidden="1"/>
    <cellStyle name="Gevolgde hyperlink" xfId="1380" builtinId="9" hidden="1"/>
    <cellStyle name="Gevolgde hyperlink" xfId="1382" builtinId="9" hidden="1"/>
    <cellStyle name="Gevolgde hyperlink" xfId="1384" builtinId="9" hidden="1"/>
    <cellStyle name="Gevolgde hyperlink" xfId="1386" builtinId="9" hidden="1"/>
    <cellStyle name="Gevolgde hyperlink" xfId="1388" builtinId="9" hidden="1"/>
    <cellStyle name="Gevolgde hyperlink" xfId="1390" builtinId="9" hidden="1"/>
    <cellStyle name="Gevolgde hyperlink" xfId="1392" builtinId="9" hidden="1"/>
    <cellStyle name="Gevolgde hyperlink" xfId="1394" builtinId="9" hidden="1"/>
    <cellStyle name="Gevolgde hyperlink" xfId="1396" builtinId="9" hidden="1"/>
    <cellStyle name="Gevolgde hyperlink" xfId="1398" builtinId="9" hidden="1"/>
    <cellStyle name="Gevolgde hyperlink" xfId="1400" builtinId="9" hidden="1"/>
    <cellStyle name="Gevolgde hyperlink" xfId="1402" builtinId="9" hidden="1"/>
    <cellStyle name="Gevolgde hyperlink" xfId="1404" builtinId="9" hidden="1"/>
    <cellStyle name="Gevolgde hyperlink" xfId="1406" builtinId="9" hidden="1"/>
    <cellStyle name="Gevolgde hyperlink" xfId="1408" builtinId="9" hidden="1"/>
    <cellStyle name="Gevolgde hyperlink" xfId="1410" builtinId="9" hidden="1"/>
    <cellStyle name="Gevolgde hyperlink" xfId="1412" builtinId="9" hidden="1"/>
    <cellStyle name="Gevolgde hyperlink" xfId="1414" builtinId="9" hidden="1"/>
    <cellStyle name="Gevolgde hyperlink" xfId="1416" builtinId="9" hidden="1"/>
    <cellStyle name="Gevolgde hyperlink" xfId="1418" builtinId="9" hidden="1"/>
    <cellStyle name="Gevolgde hyperlink" xfId="1420" builtinId="9" hidden="1"/>
    <cellStyle name="Gevolgde hyperlink" xfId="1422" builtinId="9" hidden="1"/>
    <cellStyle name="Gevolgde hyperlink" xfId="1424" builtinId="9" hidden="1"/>
    <cellStyle name="Gevolgde hyperlink" xfId="1426" builtinId="9" hidden="1"/>
    <cellStyle name="Gevolgde hyperlink" xfId="1428" builtinId="9" hidden="1"/>
    <cellStyle name="Gevolgde hyperlink" xfId="1430" builtinId="9" hidden="1"/>
    <cellStyle name="Gevolgde hyperlink" xfId="1432" builtinId="9" hidden="1"/>
    <cellStyle name="Gevolgde hyperlink" xfId="1434" builtinId="9" hidden="1"/>
    <cellStyle name="Gevolgde hyperlink" xfId="1436" builtinId="9" hidden="1"/>
    <cellStyle name="Gevolgde hyperlink" xfId="1438" builtinId="9" hidden="1"/>
    <cellStyle name="Gevolgde hyperlink" xfId="1440" builtinId="9" hidden="1"/>
    <cellStyle name="Gevolgde hyperlink" xfId="1442" builtinId="9" hidden="1"/>
    <cellStyle name="Gevolgde hyperlink" xfId="1444" builtinId="9" hidden="1"/>
    <cellStyle name="Gevolgde hyperlink" xfId="1446" builtinId="9" hidden="1"/>
    <cellStyle name="Gevolgde hyperlink" xfId="1448" builtinId="9" hidden="1"/>
    <cellStyle name="Gevolgde hyperlink" xfId="1450" builtinId="9" hidden="1"/>
    <cellStyle name="Gevolgde hyperlink" xfId="1452" builtinId="9" hidden="1"/>
    <cellStyle name="Gevolgde hyperlink" xfId="1454" builtinId="9" hidden="1"/>
    <cellStyle name="Gevolgde hyperlink" xfId="1456" builtinId="9" hidden="1"/>
    <cellStyle name="Gevolgde hyperlink" xfId="1458" builtinId="9" hidden="1"/>
    <cellStyle name="Gevolgde hyperlink" xfId="1460" builtinId="9" hidden="1"/>
    <cellStyle name="Gevolgde hyperlink" xfId="1462" builtinId="9" hidden="1"/>
    <cellStyle name="Gevolgde hyperlink" xfId="1464" builtinId="9" hidden="1"/>
    <cellStyle name="Gevolgde hyperlink" xfId="1466" builtinId="9" hidden="1"/>
    <cellStyle name="Gevolgde hyperlink" xfId="1468" builtinId="9" hidden="1"/>
    <cellStyle name="Gevolgde hyperlink" xfId="1470" builtinId="9" hidden="1"/>
    <cellStyle name="Gevolgde hyperlink" xfId="1472" builtinId="9" hidden="1"/>
    <cellStyle name="Gevolgde hyperlink" xfId="1474" builtinId="9" hidden="1"/>
    <cellStyle name="Gevolgde hyperlink" xfId="1476" builtinId="9" hidden="1"/>
    <cellStyle name="Gevolgde hyperlink" xfId="1478" builtinId="9" hidden="1"/>
    <cellStyle name="Gevolgde hyperlink" xfId="1480" builtinId="9" hidden="1"/>
    <cellStyle name="Gevolgde hyperlink" xfId="1482" builtinId="9" hidden="1"/>
    <cellStyle name="Gevolgde hyperlink" xfId="1484" builtinId="9" hidden="1"/>
    <cellStyle name="Gevolgde hyperlink" xfId="1486" builtinId="9" hidden="1"/>
    <cellStyle name="Gevolgde hyperlink" xfId="1488" builtinId="9" hidden="1"/>
    <cellStyle name="Gevolgde hyperlink" xfId="1490" builtinId="9" hidden="1"/>
    <cellStyle name="Gevolgde hyperlink" xfId="1492" builtinId="9" hidden="1"/>
    <cellStyle name="Gevolgde hyperlink" xfId="1494" builtinId="9" hidden="1"/>
    <cellStyle name="Gevolgde hyperlink" xfId="1496" builtinId="9" hidden="1"/>
    <cellStyle name="Gevolgde hyperlink" xfId="1498" builtinId="9" hidden="1"/>
    <cellStyle name="Gevolgde hyperlink" xfId="1500" builtinId="9" hidden="1"/>
    <cellStyle name="Gevolgde hyperlink" xfId="1502" builtinId="9" hidden="1"/>
    <cellStyle name="Gevolgde hyperlink" xfId="1504" builtinId="9" hidden="1"/>
    <cellStyle name="Gevolgde hyperlink" xfId="1506" builtinId="9" hidden="1"/>
    <cellStyle name="Gevolgde hyperlink" xfId="1508" builtinId="9" hidden="1"/>
    <cellStyle name="Gevolgde hyperlink" xfId="1510" builtinId="9" hidden="1"/>
    <cellStyle name="Gevolgde hyperlink" xfId="1512" builtinId="9" hidden="1"/>
    <cellStyle name="Gevolgde hyperlink" xfId="1514" builtinId="9" hidden="1"/>
    <cellStyle name="Gevolgde hyperlink" xfId="1516" builtinId="9" hidden="1"/>
    <cellStyle name="Gevolgde hyperlink" xfId="1518" builtinId="9" hidden="1"/>
    <cellStyle name="Gevolgde hyperlink" xfId="1520" builtinId="9" hidden="1"/>
    <cellStyle name="Gevolgde hyperlink" xfId="1522" builtinId="9" hidden="1"/>
    <cellStyle name="Gevolgde hyperlink" xfId="1524" builtinId="9" hidden="1"/>
    <cellStyle name="Gevolgde hyperlink" xfId="1526" builtinId="9" hidden="1"/>
    <cellStyle name="Gevolgde hyperlink" xfId="1528" builtinId="9" hidden="1"/>
    <cellStyle name="Gevolgde hyperlink" xfId="1530" builtinId="9" hidden="1"/>
    <cellStyle name="Gevolgde hyperlink" xfId="1532" builtinId="9" hidden="1"/>
    <cellStyle name="Gevolgde hyperlink" xfId="1534" builtinId="9" hidden="1"/>
    <cellStyle name="Gevolgde hyperlink" xfId="1536" builtinId="9" hidden="1"/>
    <cellStyle name="Gevolgde hyperlink" xfId="1538" builtinId="9" hidden="1"/>
    <cellStyle name="Gevolgde hyperlink" xfId="1540" builtinId="9" hidden="1"/>
    <cellStyle name="Gevolgde hyperlink" xfId="1542" builtinId="9" hidden="1"/>
    <cellStyle name="Gevolgde hyperlink" xfId="1544" builtinId="9" hidden="1"/>
    <cellStyle name="Gevolgde hyperlink" xfId="1546" builtinId="9" hidden="1"/>
    <cellStyle name="Gevolgde hyperlink" xfId="1548" builtinId="9" hidden="1"/>
    <cellStyle name="Gevolgde hyperlink" xfId="1550" builtinId="9" hidden="1"/>
    <cellStyle name="Gevolgde hyperlink" xfId="1552" builtinId="9" hidden="1"/>
    <cellStyle name="Gevolgde hyperlink" xfId="1554" builtinId="9" hidden="1"/>
    <cellStyle name="Gevolgde hyperlink" xfId="1556" builtinId="9" hidden="1"/>
    <cellStyle name="Gevolgde hyperlink" xfId="1558" builtinId="9" hidden="1"/>
    <cellStyle name="Gevolgde hyperlink" xfId="1560" builtinId="9" hidden="1"/>
    <cellStyle name="Gevolgde hyperlink" xfId="1562" builtinId="9" hidden="1"/>
    <cellStyle name="Gevolgde hyperlink" xfId="1564" builtinId="9" hidden="1"/>
    <cellStyle name="Gevolgde hyperlink" xfId="1566" builtinId="9" hidden="1"/>
    <cellStyle name="Gevolgde hyperlink" xfId="1568" builtinId="9" hidden="1"/>
    <cellStyle name="Gevolgde hyperlink" xfId="1570" builtinId="9" hidden="1"/>
    <cellStyle name="Gevolgde hyperlink" xfId="1572" builtinId="9" hidden="1"/>
    <cellStyle name="Gevolgde hyperlink" xfId="1574" builtinId="9" hidden="1"/>
    <cellStyle name="Gevolgde hyperlink" xfId="1576" builtinId="9" hidden="1"/>
    <cellStyle name="Gevolgde hyperlink" xfId="1578" builtinId="9" hidden="1"/>
    <cellStyle name="Gevolgde hyperlink" xfId="1580" builtinId="9" hidden="1"/>
    <cellStyle name="Gevolgde hyperlink" xfId="1582" builtinId="9" hidden="1"/>
    <cellStyle name="Gevolgde hyperlink" xfId="1584" builtinId="9" hidden="1"/>
    <cellStyle name="Gevolgde hyperlink" xfId="1586" builtinId="9" hidden="1"/>
    <cellStyle name="Gevolgde hyperlink" xfId="1588" builtinId="9" hidden="1"/>
    <cellStyle name="Gevolgde hyperlink" xfId="1590" builtinId="9" hidden="1"/>
    <cellStyle name="Gevolgde hyperlink" xfId="1592" builtinId="9" hidden="1"/>
    <cellStyle name="Gevolgde hyperlink" xfId="1594" builtinId="9" hidden="1"/>
    <cellStyle name="Gevolgde hyperlink" xfId="1596" builtinId="9" hidden="1"/>
    <cellStyle name="Gevolgde hyperlink" xfId="1598" builtinId="9" hidden="1"/>
    <cellStyle name="Gevolgde hyperlink" xfId="1600" builtinId="9" hidden="1"/>
    <cellStyle name="Gevolgde hyperlink" xfId="1602" builtinId="9" hidden="1"/>
    <cellStyle name="Gevolgde hyperlink" xfId="1604" builtinId="9" hidden="1"/>
    <cellStyle name="Gevolgde hyperlink" xfId="1606" builtinId="9" hidden="1"/>
    <cellStyle name="Gevolgde hyperlink" xfId="1608" builtinId="9" hidden="1"/>
    <cellStyle name="Gevolgde hyperlink" xfId="1610" builtinId="9" hidden="1"/>
    <cellStyle name="Gevolgde hyperlink" xfId="1612" builtinId="9" hidden="1"/>
    <cellStyle name="Gevolgde hyperlink" xfId="1614" builtinId="9" hidden="1"/>
    <cellStyle name="Gevolgde hyperlink" xfId="1616" builtinId="9" hidden="1"/>
    <cellStyle name="Gevolgde hyperlink" xfId="1618" builtinId="9" hidden="1"/>
    <cellStyle name="Gevolgde hyperlink" xfId="1620" builtinId="9" hidden="1"/>
    <cellStyle name="Gevolgde hyperlink" xfId="1622" builtinId="9" hidden="1"/>
    <cellStyle name="Gevolgde hyperlink" xfId="1624" builtinId="9" hidden="1"/>
    <cellStyle name="Gevolgde hyperlink" xfId="1626" builtinId="9" hidden="1"/>
    <cellStyle name="Gevolgde hyperlink" xfId="1628" builtinId="9" hidden="1"/>
    <cellStyle name="Gevolgde hyperlink" xfId="1630" builtinId="9" hidden="1"/>
    <cellStyle name="Gevolgde hyperlink" xfId="1632" builtinId="9" hidden="1"/>
    <cellStyle name="Gevolgde hyperlink" xfId="1634" builtinId="9" hidden="1"/>
    <cellStyle name="Gevolgde hyperlink" xfId="1636" builtinId="9" hidden="1"/>
    <cellStyle name="Gevolgde hyperlink" xfId="1638" builtinId="9" hidden="1"/>
    <cellStyle name="Gevolgde hyperlink" xfId="1640" builtinId="9" hidden="1"/>
    <cellStyle name="Gevolgde hyperlink" xfId="1642" builtinId="9" hidden="1"/>
    <cellStyle name="Gevolgde hyperlink" xfId="1644" builtinId="9" hidden="1"/>
    <cellStyle name="Gevolgde hyperlink" xfId="1646" builtinId="9" hidden="1"/>
    <cellStyle name="Gevolgde hyperlink" xfId="1648" builtinId="9" hidden="1"/>
    <cellStyle name="Gevolgde hyperlink" xfId="1650" builtinId="9" hidden="1"/>
    <cellStyle name="Gevolgde hyperlink" xfId="1652" builtinId="9" hidden="1"/>
    <cellStyle name="Gevolgde hyperlink" xfId="1654" builtinId="9" hidden="1"/>
    <cellStyle name="Gevolgde hyperlink" xfId="1656" builtinId="9" hidden="1"/>
    <cellStyle name="Gevolgde hyperlink" xfId="1658" builtinId="9" hidden="1"/>
    <cellStyle name="Gevolgde hyperlink" xfId="1660" builtinId="9" hidden="1"/>
    <cellStyle name="Gevolgde hyperlink" xfId="1662" builtinId="9" hidden="1"/>
    <cellStyle name="Gevolgde hyperlink" xfId="1664" builtinId="9" hidden="1"/>
    <cellStyle name="Gevolgde hyperlink" xfId="1666" builtinId="9" hidden="1"/>
    <cellStyle name="Gevolgde hyperlink" xfId="1668" builtinId="9" hidden="1"/>
    <cellStyle name="Gevolgde hyperlink" xfId="1670" builtinId="9" hidden="1"/>
    <cellStyle name="Gevolgde hyperlink" xfId="1672" builtinId="9" hidden="1"/>
    <cellStyle name="Gevolgde hyperlink" xfId="1674" builtinId="9" hidden="1"/>
    <cellStyle name="Gevolgde hyperlink" xfId="1676" builtinId="9" hidden="1"/>
    <cellStyle name="Gevolgde hyperlink" xfId="1678" builtinId="9" hidden="1"/>
    <cellStyle name="Gevolgde hyperlink" xfId="1680" builtinId="9" hidden="1"/>
    <cellStyle name="Gevolgde hyperlink" xfId="1682" builtinId="9" hidden="1"/>
    <cellStyle name="Gevolgde hyperlink" xfId="1684" builtinId="9" hidden="1"/>
    <cellStyle name="Gevolgde hyperlink" xfId="1686" builtinId="9" hidden="1"/>
    <cellStyle name="Gevolgde hyperlink" xfId="1688" builtinId="9" hidden="1"/>
    <cellStyle name="Gevolgde hyperlink" xfId="1690" builtinId="9" hidden="1"/>
    <cellStyle name="Gevolgde hyperlink" xfId="1692" builtinId="9" hidden="1"/>
    <cellStyle name="Gevolgde hyperlink" xfId="1694" builtinId="9" hidden="1"/>
    <cellStyle name="Gevolgde hyperlink" xfId="1696" builtinId="9" hidden="1"/>
    <cellStyle name="Gevolgde hyperlink" xfId="1698" builtinId="9" hidden="1"/>
    <cellStyle name="Gevolgde hyperlink" xfId="1700" builtinId="9" hidden="1"/>
    <cellStyle name="Gevolgde hyperlink" xfId="1702" builtinId="9" hidden="1"/>
    <cellStyle name="Gevolgde hyperlink" xfId="1704" builtinId="9" hidden="1"/>
    <cellStyle name="Gevolgde hyperlink" xfId="1706" builtinId="9" hidden="1"/>
    <cellStyle name="Gevolgde hyperlink" xfId="1708" builtinId="9" hidden="1"/>
    <cellStyle name="Gevolgde hyperlink" xfId="1710" builtinId="9" hidden="1"/>
    <cellStyle name="Gevolgde hyperlink" xfId="1712" builtinId="9" hidden="1"/>
    <cellStyle name="Gevolgde hyperlink" xfId="1714" builtinId="9" hidden="1"/>
    <cellStyle name="Gevolgde hyperlink" xfId="1716" builtinId="9" hidden="1"/>
    <cellStyle name="Gevolgde hyperlink" xfId="1718" builtinId="9" hidden="1"/>
    <cellStyle name="Gevolgde hyperlink" xfId="1720" builtinId="9" hidden="1"/>
    <cellStyle name="Gevolgde hyperlink" xfId="1722" builtinId="9" hidden="1"/>
    <cellStyle name="Gevolgde hyperlink" xfId="1724" builtinId="9" hidden="1"/>
    <cellStyle name="Gevolgde hyperlink" xfId="1726" builtinId="9" hidden="1"/>
    <cellStyle name="Gevolgde hyperlink" xfId="1728" builtinId="9" hidden="1"/>
    <cellStyle name="Gevolgde hyperlink" xfId="1730" builtinId="9" hidden="1"/>
    <cellStyle name="Gevolgde hyperlink" xfId="1732" builtinId="9" hidden="1"/>
    <cellStyle name="Gevolgde hyperlink" xfId="1734" builtinId="9" hidden="1"/>
    <cellStyle name="Gevolgde hyperlink" xfId="1736" builtinId="9" hidden="1"/>
    <cellStyle name="Gevolgde hyperlink" xfId="1738" builtinId="9" hidden="1"/>
    <cellStyle name="Gevolgde hyperlink" xfId="1740" builtinId="9" hidden="1"/>
    <cellStyle name="Gevolgde hyperlink" xfId="1742" builtinId="9" hidden="1"/>
    <cellStyle name="Gevolgde hyperlink" xfId="1744" builtinId="9" hidden="1"/>
    <cellStyle name="Gevolgde hyperlink" xfId="1746" builtinId="9" hidden="1"/>
    <cellStyle name="Gevolgde hyperlink" xfId="1748" builtinId="9" hidden="1"/>
    <cellStyle name="Gevolgde hyperlink" xfId="1750" builtinId="9" hidden="1"/>
    <cellStyle name="Gevolgde hyperlink" xfId="1752" builtinId="9" hidden="1"/>
    <cellStyle name="Gevolgde hyperlink" xfId="1754" builtinId="9" hidden="1"/>
    <cellStyle name="Gevolgde hyperlink" xfId="1756" builtinId="9" hidden="1"/>
    <cellStyle name="Gevolgde hyperlink" xfId="1758" builtinId="9" hidden="1"/>
    <cellStyle name="Gevolgde hyperlink" xfId="1760" builtinId="9" hidden="1"/>
    <cellStyle name="Gevolgde hyperlink" xfId="1762" builtinId="9" hidden="1"/>
    <cellStyle name="Gevolgde hyperlink" xfId="1764" builtinId="9" hidden="1"/>
    <cellStyle name="Gevolgde hyperlink" xfId="1766" builtinId="9" hidden="1"/>
    <cellStyle name="Gevolgde hyperlink" xfId="1768" builtinId="9" hidden="1"/>
    <cellStyle name="Gevolgde hyperlink" xfId="1770" builtinId="9" hidden="1"/>
    <cellStyle name="Gevolgde hyperlink" xfId="1772" builtinId="9" hidden="1"/>
    <cellStyle name="Gevolgde hyperlink" xfId="1774" builtinId="9" hidden="1"/>
    <cellStyle name="Gevolgde hyperlink" xfId="1776" builtinId="9" hidden="1"/>
    <cellStyle name="Gevolgde hyperlink" xfId="1778" builtinId="9" hidden="1"/>
    <cellStyle name="Gevolgde hyperlink" xfId="1780" builtinId="9" hidden="1"/>
    <cellStyle name="Gevolgde hyperlink" xfId="1782" builtinId="9" hidden="1"/>
    <cellStyle name="Gevolgde hyperlink" xfId="1784" builtinId="9" hidden="1"/>
    <cellStyle name="Gevolgde hyperlink" xfId="1786" builtinId="9" hidden="1"/>
    <cellStyle name="Gevolgde hyperlink" xfId="1788" builtinId="9" hidden="1"/>
    <cellStyle name="Gevolgde hyperlink" xfId="1790" builtinId="9" hidden="1"/>
    <cellStyle name="Gevolgde hyperlink" xfId="1792" builtinId="9" hidden="1"/>
    <cellStyle name="Gevolgde hyperlink" xfId="1794" builtinId="9" hidden="1"/>
    <cellStyle name="Gevolgde hyperlink" xfId="1796" builtinId="9" hidden="1"/>
    <cellStyle name="Gevolgde hyperlink" xfId="1798" builtinId="9" hidden="1"/>
    <cellStyle name="Gevolgde hyperlink" xfId="1800" builtinId="9" hidden="1"/>
    <cellStyle name="Gevolgde hyperlink" xfId="1802" builtinId="9" hidden="1"/>
    <cellStyle name="Gevolgde hyperlink" xfId="1804" builtinId="9" hidden="1"/>
    <cellStyle name="Gevolgde hyperlink" xfId="1806" builtinId="9" hidden="1"/>
    <cellStyle name="Gevolgde hyperlink" xfId="1808" builtinId="9" hidden="1"/>
    <cellStyle name="Gevolgde hyperlink" xfId="1810" builtinId="9" hidden="1"/>
    <cellStyle name="Gevolgde hyperlink" xfId="1812" builtinId="9" hidden="1"/>
    <cellStyle name="Gevolgde hyperlink" xfId="1814" builtinId="9" hidden="1"/>
    <cellStyle name="Gevolgde hyperlink" xfId="1816" builtinId="9" hidden="1"/>
    <cellStyle name="Gevolgde hyperlink" xfId="1818" builtinId="9" hidden="1"/>
    <cellStyle name="Gevolgde hyperlink" xfId="1820" builtinId="9" hidden="1"/>
    <cellStyle name="Gevolgde hyperlink" xfId="1822" builtinId="9" hidden="1"/>
    <cellStyle name="Gevolgde hyperlink" xfId="1824" builtinId="9" hidden="1"/>
    <cellStyle name="Gevolgde hyperlink" xfId="1826" builtinId="9" hidden="1"/>
    <cellStyle name="Gevolgde hyperlink" xfId="1828" builtinId="9" hidden="1"/>
    <cellStyle name="Gevolgde hyperlink" xfId="1830" builtinId="9" hidden="1"/>
    <cellStyle name="Gevolgde hyperlink" xfId="1832" builtinId="9" hidden="1"/>
    <cellStyle name="Gevolgde hyperlink" xfId="1834" builtinId="9" hidden="1"/>
    <cellStyle name="Gevolgde hyperlink" xfId="1836" builtinId="9" hidden="1"/>
    <cellStyle name="Gevolgde hyperlink" xfId="1838" builtinId="9" hidden="1"/>
    <cellStyle name="Gevolgde hyperlink" xfId="1840" builtinId="9" hidden="1"/>
    <cellStyle name="Gevolgde hyperlink" xfId="1842" builtinId="9" hidden="1"/>
    <cellStyle name="Gevolgde hyperlink" xfId="1844" builtinId="9" hidden="1"/>
    <cellStyle name="Gevolgde hyperlink" xfId="1846" builtinId="9" hidden="1"/>
    <cellStyle name="Gevolgde hyperlink" xfId="1848" builtinId="9" hidden="1"/>
    <cellStyle name="Gevolgde hyperlink" xfId="1850" builtinId="9" hidden="1"/>
    <cellStyle name="Gevolgde hyperlink" xfId="1852" builtinId="9" hidden="1"/>
    <cellStyle name="Gevolgde hyperlink" xfId="1854" builtinId="9" hidden="1"/>
    <cellStyle name="Gevolgde hyperlink" xfId="1856" builtinId="9" hidden="1"/>
    <cellStyle name="Gevolgde hyperlink" xfId="1858" builtinId="9" hidden="1"/>
    <cellStyle name="Gevolgde hyperlink" xfId="1860" builtinId="9" hidden="1"/>
    <cellStyle name="Gevolgde hyperlink" xfId="1862" builtinId="9" hidden="1"/>
    <cellStyle name="Gevolgde hyperlink" xfId="1864" builtinId="9" hidden="1"/>
    <cellStyle name="Gevolgde hyperlink" xfId="1866" builtinId="9" hidden="1"/>
    <cellStyle name="Gevolgde hyperlink" xfId="1868" builtinId="9" hidden="1"/>
    <cellStyle name="Gevolgde hyperlink" xfId="1870" builtinId="9" hidden="1"/>
    <cellStyle name="Gevolgde hyperlink" xfId="1872" builtinId="9" hidden="1"/>
    <cellStyle name="Gevolgde hyperlink" xfId="1874" builtinId="9" hidden="1"/>
    <cellStyle name="Gevolgde hyperlink" xfId="1876" builtinId="9" hidden="1"/>
    <cellStyle name="Gevolgde hyperlink" xfId="1878" builtinId="9" hidden="1"/>
    <cellStyle name="Gevolgde hyperlink" xfId="1880" builtinId="9" hidden="1"/>
    <cellStyle name="Gevolgde hyperlink" xfId="1882" builtinId="9" hidden="1"/>
    <cellStyle name="Gevolgde hyperlink" xfId="1884" builtinId="9" hidden="1"/>
    <cellStyle name="Gevolgde hyperlink" xfId="1886" builtinId="9" hidden="1"/>
    <cellStyle name="Gevolgde hyperlink" xfId="1888" builtinId="9" hidden="1"/>
    <cellStyle name="Gevolgde hyperlink" xfId="1890" builtinId="9" hidden="1"/>
    <cellStyle name="Gevolgde hyperlink" xfId="1892" builtinId="9" hidden="1"/>
    <cellStyle name="Gevolgde hyperlink" xfId="1894" builtinId="9" hidden="1"/>
    <cellStyle name="Gevolgde hyperlink" xfId="1896" builtinId="9" hidden="1"/>
    <cellStyle name="Gevolgde hyperlink" xfId="1898" builtinId="9" hidden="1"/>
    <cellStyle name="Gevolgde hyperlink" xfId="1900" builtinId="9" hidden="1"/>
    <cellStyle name="Gevolgde hyperlink" xfId="1902" builtinId="9" hidden="1"/>
    <cellStyle name="Gevolgde hyperlink" xfId="1904" builtinId="9" hidden="1"/>
    <cellStyle name="Gevolgde hyperlink" xfId="1906" builtinId="9" hidden="1"/>
    <cellStyle name="Gevolgde hyperlink" xfId="1908" builtinId="9" hidden="1"/>
    <cellStyle name="Gevolgde hyperlink" xfId="1910" builtinId="9" hidden="1"/>
    <cellStyle name="Gevolgde hyperlink" xfId="1912" builtinId="9" hidden="1"/>
    <cellStyle name="Gevolgde hyperlink" xfId="1914" builtinId="9" hidden="1"/>
    <cellStyle name="Gevolgde hyperlink" xfId="1916" builtinId="9" hidden="1"/>
    <cellStyle name="Gevolgde hyperlink" xfId="1918" builtinId="9" hidden="1"/>
    <cellStyle name="Gevolgde hyperlink" xfId="1920" builtinId="9" hidden="1"/>
    <cellStyle name="Gevolgde hyperlink" xfId="1922" builtinId="9" hidden="1"/>
    <cellStyle name="Gevolgde hyperlink" xfId="1924" builtinId="9" hidden="1"/>
    <cellStyle name="Gevolgde hyperlink" xfId="1926" builtinId="9" hidden="1"/>
    <cellStyle name="Gevolgde hyperlink" xfId="1928" builtinId="9" hidden="1"/>
    <cellStyle name="Gevolgde hyperlink" xfId="1930" builtinId="9" hidden="1"/>
    <cellStyle name="Gevolgde hyperlink" xfId="1932" builtinId="9" hidden="1"/>
    <cellStyle name="Gevolgde hyperlink" xfId="1934" builtinId="9" hidden="1"/>
    <cellStyle name="Gevolgde hyperlink" xfId="1936" builtinId="9" hidden="1"/>
    <cellStyle name="Gevolgde hyperlink" xfId="1938" builtinId="9" hidden="1"/>
    <cellStyle name="Gevolgde hyperlink" xfId="1940" builtinId="9" hidden="1"/>
    <cellStyle name="Gevolgde hyperlink" xfId="1942" builtinId="9" hidden="1"/>
    <cellStyle name="Gevolgde hyperlink" xfId="1944" builtinId="9" hidden="1"/>
    <cellStyle name="Gevolgde hyperlink" xfId="1946" builtinId="9" hidden="1"/>
    <cellStyle name="Gevolgde hyperlink" xfId="1948" builtinId="9" hidden="1"/>
    <cellStyle name="Gevolgde hyperlink" xfId="1950" builtinId="9" hidden="1"/>
    <cellStyle name="Gevolgde hyperlink" xfId="1952" builtinId="9" hidden="1"/>
    <cellStyle name="Gevolgde hyperlink" xfId="1954" builtinId="9" hidden="1"/>
    <cellStyle name="Gevolgde hyperlink" xfId="1956" builtinId="9" hidden="1"/>
    <cellStyle name="Gevolgde hyperlink" xfId="1958" builtinId="9" hidden="1"/>
    <cellStyle name="Gevolgde hyperlink" xfId="1960" builtinId="9" hidden="1"/>
    <cellStyle name="Gevolgde hyperlink" xfId="1962" builtinId="9" hidden="1"/>
    <cellStyle name="Gevolgde hyperlink" xfId="1964" builtinId="9" hidden="1"/>
    <cellStyle name="Gevolgde hyperlink" xfId="1966" builtinId="9" hidden="1"/>
    <cellStyle name="Gevolgde hyperlink" xfId="1968" builtinId="9" hidden="1"/>
    <cellStyle name="Gevolgde hyperlink" xfId="1970" builtinId="9" hidden="1"/>
    <cellStyle name="Gevolgde hyperlink" xfId="1972" builtinId="9" hidden="1"/>
    <cellStyle name="Gevolgde hyperlink" xfId="1974" builtinId="9" hidden="1"/>
    <cellStyle name="Gevolgde hyperlink" xfId="1976" builtinId="9" hidden="1"/>
    <cellStyle name="Gevolgde hyperlink" xfId="1978" builtinId="9" hidden="1"/>
    <cellStyle name="Gevolgde hyperlink" xfId="1980" builtinId="9" hidden="1"/>
    <cellStyle name="Gevolgde hyperlink" xfId="1982" builtinId="9" hidden="1"/>
    <cellStyle name="Gevolgde hyperlink" xfId="1984" builtinId="9" hidden="1"/>
    <cellStyle name="Gevolgde hyperlink" xfId="1986" builtinId="9" hidden="1"/>
    <cellStyle name="Gevolgde hyperlink" xfId="1988" builtinId="9" hidden="1"/>
    <cellStyle name="Gevolgde hyperlink" xfId="1990" builtinId="9" hidden="1"/>
    <cellStyle name="Gevolgde hyperlink" xfId="1992" builtinId="9" hidden="1"/>
    <cellStyle name="Gevolgde hyperlink" xfId="1994" builtinId="9" hidden="1"/>
    <cellStyle name="Gevolgde hyperlink" xfId="1996" builtinId="9" hidden="1"/>
    <cellStyle name="Gevolgde hyperlink" xfId="1998" builtinId="9" hidden="1"/>
    <cellStyle name="Gevolgde hyperlink" xfId="2000" builtinId="9" hidden="1"/>
    <cellStyle name="Gevolgde hyperlink" xfId="2002" builtinId="9" hidden="1"/>
    <cellStyle name="Gevolgde hyperlink" xfId="2004" builtinId="9" hidden="1"/>
    <cellStyle name="Gevolgde hyperlink" xfId="2006" builtinId="9" hidden="1"/>
    <cellStyle name="Gevolgde hyperlink" xfId="2008" builtinId="9" hidden="1"/>
    <cellStyle name="Gevolgde hyperlink" xfId="2010" builtinId="9" hidden="1"/>
    <cellStyle name="Gevolgde hyperlink" xfId="2012" builtinId="9" hidden="1"/>
    <cellStyle name="Gevolgde hyperlink" xfId="2014" builtinId="9" hidden="1"/>
    <cellStyle name="Gevolgde hyperlink" xfId="2016" builtinId="9" hidden="1"/>
    <cellStyle name="Gevolgde hyperlink" xfId="2018" builtinId="9" hidden="1"/>
    <cellStyle name="Gevolgde hyperlink" xfId="2020" builtinId="9" hidden="1"/>
    <cellStyle name="Gevolgde hyperlink" xfId="2022" builtinId="9" hidden="1"/>
    <cellStyle name="Gevolgde hyperlink" xfId="2024" builtinId="9" hidden="1"/>
    <cellStyle name="Gevolgde hyperlink" xfId="2026" builtinId="9" hidden="1"/>
    <cellStyle name="Gevolgde hyperlink" xfId="2028" builtinId="9" hidden="1"/>
    <cellStyle name="Gevolgde hyperlink" xfId="2030" builtinId="9" hidden="1"/>
    <cellStyle name="Gevolgde hyperlink" xfId="2032" builtinId="9" hidden="1"/>
    <cellStyle name="Gevolgde hyperlink" xfId="2034" builtinId="9" hidden="1"/>
    <cellStyle name="Gevolgde hyperlink" xfId="2036" builtinId="9" hidden="1"/>
    <cellStyle name="Gevolgde hyperlink" xfId="2038" builtinId="9" hidden="1"/>
    <cellStyle name="Gevolgde hyperlink" xfId="2040" builtinId="9" hidden="1"/>
    <cellStyle name="Gevolgde hyperlink" xfId="2042" builtinId="9" hidden="1"/>
    <cellStyle name="Gevolgde hyperlink" xfId="2044" builtinId="9" hidden="1"/>
    <cellStyle name="Gevolgde hyperlink" xfId="2046" builtinId="9" hidden="1"/>
    <cellStyle name="Gevolgde hyperlink" xfId="2048" builtinId="9" hidden="1"/>
    <cellStyle name="Gevolgde hyperlink" xfId="2050" builtinId="9" hidden="1"/>
    <cellStyle name="Gevolgde hyperlink" xfId="2052" builtinId="9" hidden="1"/>
    <cellStyle name="Gevolgde hyperlink" xfId="2054" builtinId="9" hidden="1"/>
    <cellStyle name="Gevolgde hyperlink" xfId="2056" builtinId="9" hidden="1"/>
    <cellStyle name="Gevolgde hyperlink" xfId="2058" builtinId="9" hidden="1"/>
    <cellStyle name="Gevolgde hyperlink" xfId="2060" builtinId="9" hidden="1"/>
    <cellStyle name="Gevolgde hyperlink" xfId="2062" builtinId="9" hidden="1"/>
    <cellStyle name="Gevolgde hyperlink" xfId="2064" builtinId="9" hidden="1"/>
    <cellStyle name="Gevolgde hyperlink" xfId="2066" builtinId="9" hidden="1"/>
    <cellStyle name="Gevolgde hyperlink" xfId="2068" builtinId="9" hidden="1"/>
    <cellStyle name="Gevolgde hyperlink" xfId="2070" builtinId="9" hidden="1"/>
    <cellStyle name="Gevolgde hyperlink" xfId="2072" builtinId="9" hidden="1"/>
    <cellStyle name="Gevolgde hyperlink" xfId="2074" builtinId="9" hidden="1"/>
    <cellStyle name="Gevolgde hyperlink" xfId="2076" builtinId="9" hidden="1"/>
    <cellStyle name="Gevolgde hyperlink" xfId="2078" builtinId="9" hidden="1"/>
    <cellStyle name="Gevolgde hyperlink" xfId="2080" builtinId="9" hidden="1"/>
    <cellStyle name="Gevolgde hyperlink" xfId="2082" builtinId="9" hidden="1"/>
    <cellStyle name="Gevolgde hyperlink" xfId="2084" builtinId="9" hidden="1"/>
    <cellStyle name="Gevolgde hyperlink" xfId="2086" builtinId="9" hidden="1"/>
    <cellStyle name="Gevolgde hyperlink" xfId="2088" builtinId="9" hidden="1"/>
    <cellStyle name="Gevolgde hyperlink" xfId="2090" builtinId="9" hidden="1"/>
    <cellStyle name="Gevolgde hyperlink" xfId="2092" builtinId="9" hidden="1"/>
    <cellStyle name="Gevolgde hyperlink" xfId="2094" builtinId="9" hidden="1"/>
    <cellStyle name="Gevolgde hyperlink" xfId="2096" builtinId="9" hidden="1"/>
    <cellStyle name="Gevolgde hyperlink" xfId="2098" builtinId="9" hidden="1"/>
    <cellStyle name="Gevolgde hyperlink" xfId="2100" builtinId="9" hidden="1"/>
    <cellStyle name="Gevolgde hyperlink" xfId="2102" builtinId="9" hidden="1"/>
    <cellStyle name="Gevolgde hyperlink" xfId="2104" builtinId="9" hidden="1"/>
    <cellStyle name="Gevolgde hyperlink" xfId="2106" builtinId="9" hidden="1"/>
    <cellStyle name="Gevolgde hyperlink" xfId="2108" builtinId="9" hidden="1"/>
    <cellStyle name="Gevolgde hyperlink" xfId="2110" builtinId="9" hidden="1"/>
    <cellStyle name="Gevolgde hyperlink" xfId="2112" builtinId="9" hidden="1"/>
    <cellStyle name="Gevolgde hyperlink" xfId="2114" builtinId="9" hidden="1"/>
    <cellStyle name="Gevolgde hyperlink" xfId="2116" builtinId="9" hidden="1"/>
    <cellStyle name="Gevolgde hyperlink" xfId="2118" builtinId="9" hidden="1"/>
    <cellStyle name="Gevolgde hyperlink" xfId="2120" builtinId="9" hidden="1"/>
    <cellStyle name="Gevolgde hyperlink" xfId="2122" builtinId="9" hidden="1"/>
    <cellStyle name="Gevolgde hyperlink" xfId="2124" builtinId="9" hidden="1"/>
    <cellStyle name="Gevolgde hyperlink" xfId="2126" builtinId="9" hidden="1"/>
    <cellStyle name="Gevolgde hyperlink" xfId="2128" builtinId="9" hidden="1"/>
    <cellStyle name="Gevolgde hyperlink" xfId="2130" builtinId="9" hidden="1"/>
    <cellStyle name="Gevolgde hyperlink" xfId="2132" builtinId="9" hidden="1"/>
    <cellStyle name="Gevolgde hyperlink" xfId="2134" builtinId="9" hidden="1"/>
    <cellStyle name="Gevolgde hyperlink" xfId="2136" builtinId="9" hidden="1"/>
    <cellStyle name="Gevolgde hyperlink" xfId="2138" builtinId="9" hidden="1"/>
    <cellStyle name="Gevolgde hyperlink" xfId="2140" builtinId="9" hidden="1"/>
    <cellStyle name="Gevolgde hyperlink" xfId="2142" builtinId="9" hidden="1"/>
    <cellStyle name="Gevolgde hyperlink" xfId="2144" builtinId="9" hidden="1"/>
    <cellStyle name="Gevolgde hyperlink" xfId="2146" builtinId="9" hidden="1"/>
    <cellStyle name="Gevolgde hyperlink" xfId="2148" builtinId="9" hidden="1"/>
    <cellStyle name="Gevolgde hyperlink" xfId="2150" builtinId="9" hidden="1"/>
    <cellStyle name="Gevolgde hyperlink" xfId="2152" builtinId="9" hidden="1"/>
    <cellStyle name="Gevolgde hyperlink" xfId="2154" builtinId="9" hidden="1"/>
    <cellStyle name="Gevolgde hyperlink" xfId="2156" builtinId="9" hidden="1"/>
    <cellStyle name="Gevolgde hyperlink" xfId="2158" builtinId="9" hidden="1"/>
    <cellStyle name="Gevolgde hyperlink" xfId="2160" builtinId="9" hidden="1"/>
    <cellStyle name="Gevolgde hyperlink" xfId="2162" builtinId="9" hidden="1"/>
    <cellStyle name="Gevolgde hyperlink" xfId="2164" builtinId="9" hidden="1"/>
    <cellStyle name="Gevolgde hyperlink" xfId="2166" builtinId="9" hidden="1"/>
    <cellStyle name="Gevolgde hyperlink" xfId="2168" builtinId="9" hidden="1"/>
    <cellStyle name="Gevolgde hyperlink" xfId="2171" builtinId="9" hidden="1"/>
    <cellStyle name="Gevolgde hyperlink" xfId="2173" builtinId="9" hidden="1"/>
    <cellStyle name="Gevolgde hyperlink" xfId="2175" builtinId="9" hidden="1"/>
    <cellStyle name="Gevolgde hyperlink" xfId="2177" builtinId="9" hidden="1"/>
    <cellStyle name="Gevolgde hyperlink" xfId="2179" builtinId="9" hidden="1"/>
    <cellStyle name="Gevolgde hyperlink" xfId="2181" builtinId="9" hidden="1"/>
    <cellStyle name="Gevolgde hyperlink" xfId="2183" builtinId="9" hidden="1"/>
    <cellStyle name="Gevolgde hyperlink" xfId="2185" builtinId="9" hidden="1"/>
    <cellStyle name="Gevolgde hyperlink" xfId="2187" builtinId="9" hidden="1"/>
    <cellStyle name="Gevolgde hyperlink" xfId="2189" builtinId="9" hidden="1"/>
    <cellStyle name="Gevolgde hyperlink" xfId="2191" builtinId="9" hidden="1"/>
    <cellStyle name="Gevolgde hyperlink" xfId="2193" builtinId="9" hidden="1"/>
    <cellStyle name="Gevolgde hyperlink" xfId="2195" builtinId="9" hidden="1"/>
    <cellStyle name="Gevolgde hyperlink" xfId="2197" builtinId="9" hidden="1"/>
    <cellStyle name="Gevolgde hyperlink" xfId="2199" builtinId="9" hidden="1"/>
    <cellStyle name="Gevolgde hyperlink" xfId="2201" builtinId="9" hidden="1"/>
    <cellStyle name="Gevolgde hyperlink" xfId="2203" builtinId="9" hidden="1"/>
    <cellStyle name="Gevolgde hyperlink" xfId="2205" builtinId="9" hidden="1"/>
    <cellStyle name="Gevolgde hyperlink" xfId="2207" builtinId="9" hidden="1"/>
    <cellStyle name="Gevolgde hyperlink" xfId="2209" builtinId="9" hidden="1"/>
    <cellStyle name="Gevolgde hyperlink" xfId="2211" builtinId="9" hidden="1"/>
    <cellStyle name="Gevolgde hyperlink" xfId="2213" builtinId="9" hidden="1"/>
    <cellStyle name="Gevolgde hyperlink" xfId="2215" builtinId="9" hidden="1"/>
    <cellStyle name="Gevolgde hyperlink" xfId="2217" builtinId="9" hidden="1"/>
    <cellStyle name="Gevolgde hyperlink" xfId="2219" builtinId="9" hidden="1"/>
    <cellStyle name="Gevolgde hyperlink" xfId="2221" builtinId="9" hidden="1"/>
    <cellStyle name="Gevolgde hyperlink" xfId="2223" builtinId="9" hidden="1"/>
    <cellStyle name="Gevolgde hyperlink" xfId="2225" builtinId="9" hidden="1"/>
    <cellStyle name="Gevolgde hyperlink" xfId="2227" builtinId="9" hidden="1"/>
    <cellStyle name="Gevolgde hyperlink" xfId="2229" builtinId="9" hidden="1"/>
    <cellStyle name="Gevolgde hyperlink" xfId="2231" builtinId="9" hidden="1"/>
    <cellStyle name="Gevolgde hyperlink" xfId="2233" builtinId="9" hidden="1"/>
    <cellStyle name="Gevolgde hyperlink" xfId="2235" builtinId="9" hidden="1"/>
    <cellStyle name="Gevolgde hyperlink" xfId="2237" builtinId="9" hidden="1"/>
    <cellStyle name="Gevolgde hyperlink" xfId="2239" builtinId="9" hidden="1"/>
    <cellStyle name="Gevolgde hyperlink" xfId="2241" builtinId="9" hidden="1"/>
    <cellStyle name="Gevolgde hyperlink" xfId="2243" builtinId="9" hidden="1"/>
    <cellStyle name="Gevolgde hyperlink" xfId="2245" builtinId="9" hidden="1"/>
    <cellStyle name="Gevolgde hyperlink" xfId="2247" builtinId="9" hidden="1"/>
    <cellStyle name="Gevolgde hyperlink" xfId="2249" builtinId="9" hidden="1"/>
    <cellStyle name="Gevolgde hyperlink" xfId="2251" builtinId="9" hidden="1"/>
    <cellStyle name="Gevolgde hyperlink" xfId="2253" builtinId="9" hidden="1"/>
    <cellStyle name="Gevolgde hyperlink" xfId="2255" builtinId="9" hidden="1"/>
    <cellStyle name="Gevolgde hyperlink" xfId="2257" builtinId="9" hidden="1"/>
    <cellStyle name="Gevolgde hyperlink" xfId="2259" builtinId="9" hidden="1"/>
    <cellStyle name="Gevolgde hyperlink" xfId="2261" builtinId="9" hidden="1"/>
    <cellStyle name="Gevolgde hyperlink" xfId="2263" builtinId="9" hidden="1"/>
    <cellStyle name="Gevolgde hyperlink" xfId="2265" builtinId="9" hidden="1"/>
    <cellStyle name="Gevolgde hyperlink" xfId="2267" builtinId="9" hidden="1"/>
    <cellStyle name="Gevolgde hyperlink" xfId="2269" builtinId="9" hidden="1"/>
    <cellStyle name="Gevolgde hyperlink" xfId="2271" builtinId="9" hidden="1"/>
    <cellStyle name="Gevolgde hyperlink" xfId="2273" builtinId="9" hidden="1"/>
    <cellStyle name="Gevolgde hyperlink" xfId="2275" builtinId="9" hidden="1"/>
    <cellStyle name="Gevolgde hyperlink" xfId="2277" builtinId="9" hidden="1"/>
    <cellStyle name="Gevolgde hyperlink" xfId="2279" builtinId="9" hidden="1"/>
    <cellStyle name="Gevolgde hyperlink" xfId="2281" builtinId="9" hidden="1"/>
    <cellStyle name="Gevolgde hyperlink" xfId="2283" builtinId="9" hidden="1"/>
    <cellStyle name="Gevolgde hyperlink" xfId="2285" builtinId="9" hidden="1"/>
    <cellStyle name="Gevolgde hyperlink" xfId="2287" builtinId="9" hidden="1"/>
    <cellStyle name="Gevolgde hyperlink" xfId="2289" builtinId="9" hidden="1"/>
    <cellStyle name="Gevolgde hyperlink" xfId="2291" builtinId="9" hidden="1"/>
    <cellStyle name="Gevolgde hyperlink" xfId="2293" builtinId="9" hidden="1"/>
    <cellStyle name="Gevolgde hyperlink" xfId="2295" builtinId="9" hidden="1"/>
    <cellStyle name="Gevolgde hyperlink" xfId="2297" builtinId="9" hidden="1"/>
    <cellStyle name="Gevolgde hyperlink" xfId="2299" builtinId="9" hidden="1"/>
    <cellStyle name="Gevolgde hyperlink" xfId="2301" builtinId="9" hidden="1"/>
    <cellStyle name="Gevolgde hyperlink" xfId="2303" builtinId="9" hidden="1"/>
    <cellStyle name="Gevolgde hyperlink" xfId="2305" builtinId="9" hidden="1"/>
    <cellStyle name="Gevolgde hyperlink" xfId="2307" builtinId="9" hidden="1"/>
    <cellStyle name="Gevolgde hyperlink" xfId="2309" builtinId="9" hidden="1"/>
    <cellStyle name="Gevolgde hyperlink" xfId="2311" builtinId="9" hidden="1"/>
    <cellStyle name="Gevolgde hyperlink" xfId="2313" builtinId="9" hidden="1"/>
    <cellStyle name="Gevolgde hyperlink" xfId="2315" builtinId="9" hidden="1"/>
    <cellStyle name="Gevolgde hyperlink" xfId="2317" builtinId="9" hidden="1"/>
    <cellStyle name="Gevolgde hyperlink" xfId="2319" builtinId="9" hidden="1"/>
    <cellStyle name="Gevolgde hyperlink" xfId="2321" builtinId="9" hidden="1"/>
    <cellStyle name="Gevolgde hyperlink" xfId="2323" builtinId="9" hidden="1"/>
    <cellStyle name="Gevolgde hyperlink" xfId="2325" builtinId="9" hidden="1"/>
    <cellStyle name="Gevolgde hyperlink" xfId="2327" builtinId="9" hidden="1"/>
    <cellStyle name="Gevolgde hyperlink" xfId="2329" builtinId="9" hidden="1"/>
    <cellStyle name="Gevolgde hyperlink" xfId="2331" builtinId="9" hidden="1"/>
    <cellStyle name="Gevolgde hyperlink" xfId="2333" builtinId="9" hidden="1"/>
    <cellStyle name="Gevolgde hyperlink" xfId="2335" builtinId="9" hidden="1"/>
    <cellStyle name="Gevolgde hyperlink" xfId="2337" builtinId="9" hidden="1"/>
    <cellStyle name="Gevolgde hyperlink" xfId="2339" builtinId="9" hidden="1"/>
    <cellStyle name="Gevolgde hyperlink" xfId="2341" builtinId="9" hidden="1"/>
    <cellStyle name="Gevolgde hyperlink" xfId="2343" builtinId="9" hidden="1"/>
    <cellStyle name="Gevolgde hyperlink" xfId="2345" builtinId="9" hidden="1"/>
    <cellStyle name="Gevolgde hyperlink" xfId="2347" builtinId="9" hidden="1"/>
    <cellStyle name="Gevolgde hyperlink" xfId="2349" builtinId="9" hidden="1"/>
    <cellStyle name="Gevolgde hyperlink" xfId="2351" builtinId="9" hidden="1"/>
    <cellStyle name="Gevolgde hyperlink" xfId="2353" builtinId="9" hidden="1"/>
    <cellStyle name="Gevolgde hyperlink" xfId="2355" builtinId="9" hidden="1"/>
    <cellStyle name="Gevolgde hyperlink" xfId="2357" builtinId="9" hidden="1"/>
    <cellStyle name="Gevolgde hyperlink" xfId="2359" builtinId="9" hidden="1"/>
    <cellStyle name="Gevolgde hyperlink" xfId="2361" builtinId="9" hidden="1"/>
    <cellStyle name="Gevolgde hyperlink" xfId="2363" builtinId="9" hidden="1"/>
    <cellStyle name="Gevolgde hyperlink" xfId="2365" builtinId="9" hidden="1"/>
    <cellStyle name="Gevolgde hyperlink" xfId="2367" builtinId="9" hidden="1"/>
    <cellStyle name="Gevolgde hyperlink" xfId="2369" builtinId="9" hidden="1"/>
    <cellStyle name="Gevolgde hyperlink" xfId="2371" builtinId="9" hidden="1"/>
    <cellStyle name="Gevolgde hyperlink" xfId="2373" builtinId="9" hidden="1"/>
    <cellStyle name="Gevolgde hyperlink" xfId="2375" builtinId="9" hidden="1"/>
    <cellStyle name="Gevolgde hyperlink" xfId="2377" builtinId="9" hidden="1"/>
    <cellStyle name="Gevolgde hyperlink" xfId="2379" builtinId="9" hidden="1"/>
    <cellStyle name="Gevolgde hyperlink" xfId="2381" builtinId="9" hidden="1"/>
    <cellStyle name="Gevolgde hyperlink" xfId="2383" builtinId="9" hidden="1"/>
    <cellStyle name="Gevolgde hyperlink" xfId="2385" builtinId="9" hidden="1"/>
    <cellStyle name="Gevolgde hyperlink" xfId="2387" builtinId="9" hidden="1"/>
    <cellStyle name="Gevolgde hyperlink" xfId="2389" builtinId="9" hidden="1"/>
    <cellStyle name="Gevolgde hyperlink" xfId="2391" builtinId="9" hidden="1"/>
    <cellStyle name="Gevolgde hyperlink" xfId="2393" builtinId="9" hidden="1"/>
    <cellStyle name="Gevolgde hyperlink" xfId="2395" builtinId="9" hidden="1"/>
    <cellStyle name="Gevolgde hyperlink" xfId="2397" builtinId="9" hidden="1"/>
    <cellStyle name="Gevolgde hyperlink" xfId="2399" builtinId="9" hidden="1"/>
    <cellStyle name="Gevolgde hyperlink" xfId="2401" builtinId="9" hidden="1"/>
    <cellStyle name="Gevolgde hyperlink" xfId="2403" builtinId="9" hidden="1"/>
    <cellStyle name="Gevolgde hyperlink" xfId="2405" builtinId="9" hidden="1"/>
    <cellStyle name="Gevolgde hyperlink" xfId="2407" builtinId="9" hidden="1"/>
    <cellStyle name="Gevolgde hyperlink" xfId="2409" builtinId="9" hidden="1"/>
    <cellStyle name="Gevolgde hyperlink" xfId="2411" builtinId="9" hidden="1"/>
    <cellStyle name="Gevolgde hyperlink" xfId="2413" builtinId="9" hidden="1"/>
    <cellStyle name="Gevolgde hyperlink" xfId="2415" builtinId="9" hidden="1"/>
    <cellStyle name="Gevolgde hyperlink" xfId="2417" builtinId="9" hidden="1"/>
    <cellStyle name="Gevolgde hyperlink" xfId="2419" builtinId="9" hidden="1"/>
    <cellStyle name="Gevolgde hyperlink" xfId="2421" builtinId="9" hidden="1"/>
    <cellStyle name="Gevolgde hyperlink" xfId="2423" builtinId="9" hidden="1"/>
    <cellStyle name="Gevolgde hyperlink" xfId="2425" builtinId="9" hidden="1"/>
    <cellStyle name="Gevolgde hyperlink" xfId="2427" builtinId="9" hidden="1"/>
    <cellStyle name="Gevolgde hyperlink" xfId="2429" builtinId="9" hidden="1"/>
    <cellStyle name="Gevolgde hyperlink" xfId="2431" builtinId="9" hidden="1"/>
    <cellStyle name="Gevolgde hyperlink" xfId="2433" builtinId="9" hidden="1"/>
    <cellStyle name="Gevolgde hyperlink" xfId="2435" builtinId="9" hidden="1"/>
    <cellStyle name="Gevolgde hyperlink" xfId="2437" builtinId="9" hidden="1"/>
    <cellStyle name="Gevolgde hyperlink" xfId="2439" builtinId="9" hidden="1"/>
    <cellStyle name="Gevolgde hyperlink" xfId="2441" builtinId="9" hidden="1"/>
    <cellStyle name="Gevolgde hyperlink" xfId="2443" builtinId="9" hidden="1"/>
    <cellStyle name="Gevolgde hyperlink" xfId="2445" builtinId="9" hidden="1"/>
    <cellStyle name="Gevolgde hyperlink" xfId="2447" builtinId="9" hidden="1"/>
    <cellStyle name="Gevolgde hyperlink" xfId="2449" builtinId="9" hidden="1"/>
    <cellStyle name="Gevolgde hyperlink" xfId="2451" builtinId="9" hidden="1"/>
    <cellStyle name="Gevolgde hyperlink" xfId="2453" builtinId="9" hidden="1"/>
    <cellStyle name="Gevolgde hyperlink" xfId="2455" builtinId="9" hidden="1"/>
    <cellStyle name="Gevolgde hyperlink" xfId="2457" builtinId="9" hidden="1"/>
    <cellStyle name="Gevolgde hyperlink" xfId="2459" builtinId="9" hidden="1"/>
    <cellStyle name="Gevolgde hyperlink" xfId="2461" builtinId="9" hidden="1"/>
    <cellStyle name="Gevolgde hyperlink" xfId="2463" builtinId="9" hidden="1"/>
    <cellStyle name="Gevolgde hyperlink" xfId="2465" builtinId="9" hidden="1"/>
    <cellStyle name="Gevolgde hyperlink" xfId="2467" builtinId="9" hidden="1"/>
    <cellStyle name="Gevolgde hyperlink" xfId="2469" builtinId="9" hidden="1"/>
    <cellStyle name="Gevolgde hyperlink" xfId="2471" builtinId="9" hidden="1"/>
    <cellStyle name="Gevolgde hyperlink" xfId="2473" builtinId="9" hidden="1"/>
    <cellStyle name="Gevolgde hyperlink" xfId="2475" builtinId="9" hidden="1"/>
    <cellStyle name="Gevolgde hyperlink" xfId="2477" builtinId="9" hidden="1"/>
    <cellStyle name="Gevolgde hyperlink" xfId="2479" builtinId="9" hidden="1"/>
    <cellStyle name="Gevolgde hyperlink" xfId="2481" builtinId="9" hidden="1"/>
    <cellStyle name="Gevolgde hyperlink" xfId="2483" builtinId="9" hidden="1"/>
    <cellStyle name="Gevolgde hyperlink" xfId="2485" builtinId="9" hidden="1"/>
    <cellStyle name="Gevolgde hyperlink" xfId="2487" builtinId="9" hidden="1"/>
    <cellStyle name="Gevolgde hyperlink" xfId="2489" builtinId="9" hidden="1"/>
    <cellStyle name="Gevolgde hyperlink" xfId="2491" builtinId="9" hidden="1"/>
    <cellStyle name="Gevolgde hyperlink" xfId="2493" builtinId="9" hidden="1"/>
    <cellStyle name="Gevolgde hyperlink" xfId="2495" builtinId="9" hidden="1"/>
    <cellStyle name="Gevolgde hyperlink" xfId="2497" builtinId="9" hidden="1"/>
    <cellStyle name="Gevolgde hyperlink" xfId="2499" builtinId="9" hidden="1"/>
    <cellStyle name="Gevolgde hyperlink" xfId="2501" builtinId="9" hidden="1"/>
    <cellStyle name="Gevolgde hyperlink" xfId="2503" builtinId="9" hidden="1"/>
    <cellStyle name="Gevolgde hyperlink" xfId="2505" builtinId="9" hidden="1"/>
    <cellStyle name="Gevolgde hyperlink" xfId="2507" builtinId="9" hidden="1"/>
    <cellStyle name="Gevolgde hyperlink" xfId="2509" builtinId="9" hidden="1"/>
    <cellStyle name="Gevolgde hyperlink" xfId="2511" builtinId="9" hidden="1"/>
    <cellStyle name="Gevolgde hyperlink" xfId="2513" builtinId="9" hidden="1"/>
    <cellStyle name="Gevolgde hyperlink" xfId="2515" builtinId="9" hidden="1"/>
    <cellStyle name="Gevolgde hyperlink" xfId="2517" builtinId="9" hidden="1"/>
    <cellStyle name="Gevolgde hyperlink" xfId="2519" builtinId="9" hidden="1"/>
    <cellStyle name="Gevolgde hyperlink" xfId="2521" builtinId="9" hidden="1"/>
    <cellStyle name="Gevolgde hyperlink" xfId="2523" builtinId="9" hidden="1"/>
    <cellStyle name="Gevolgde hyperlink" xfId="2525" builtinId="9" hidden="1"/>
    <cellStyle name="Gevolgde hyperlink" xfId="2527" builtinId="9" hidden="1"/>
    <cellStyle name="Gevolgde hyperlink" xfId="2529" builtinId="9" hidden="1"/>
    <cellStyle name="Gevolgde hyperlink" xfId="2531" builtinId="9" hidden="1"/>
    <cellStyle name="Gevolgde hyperlink" xfId="2533" builtinId="9" hidden="1"/>
    <cellStyle name="Gevolgde hyperlink" xfId="2535" builtinId="9" hidden="1"/>
    <cellStyle name="Gevolgde hyperlink" xfId="2537" builtinId="9" hidden="1"/>
    <cellStyle name="Gevolgde hyperlink" xfId="2539" builtinId="9" hidden="1"/>
    <cellStyle name="Gevolgde hyperlink" xfId="2541" builtinId="9" hidden="1"/>
    <cellStyle name="Gevolgde hyperlink" xfId="2543" builtinId="9" hidden="1"/>
    <cellStyle name="Gevolgde hyperlink" xfId="2545" builtinId="9" hidden="1"/>
    <cellStyle name="Gevolgde hyperlink" xfId="2547" builtinId="9" hidden="1"/>
    <cellStyle name="Gevolgde hyperlink" xfId="2549" builtinId="9" hidden="1"/>
    <cellStyle name="Gevolgde hyperlink" xfId="2551" builtinId="9" hidden="1"/>
    <cellStyle name="Gevolgde hyperlink" xfId="2553" builtinId="9" hidden="1"/>
    <cellStyle name="Gevolgde hyperlink" xfId="2555" builtinId="9" hidden="1"/>
    <cellStyle name="Gevolgde hyperlink" xfId="2557" builtinId="9" hidden="1"/>
    <cellStyle name="Gevolgde hyperlink" xfId="2559" builtinId="9" hidden="1"/>
    <cellStyle name="Gevolgde hyperlink" xfId="2561" builtinId="9" hidden="1"/>
    <cellStyle name="Gevolgde hyperlink" xfId="2563" builtinId="9" hidden="1"/>
    <cellStyle name="Gevolgde hyperlink" xfId="2565" builtinId="9" hidden="1"/>
    <cellStyle name="Gevolgde hyperlink" xfId="2567" builtinId="9" hidden="1"/>
    <cellStyle name="Gevolgde hyperlink" xfId="2569" builtinId="9" hidden="1"/>
    <cellStyle name="Gevolgde hyperlink" xfId="2571" builtinId="9" hidden="1"/>
    <cellStyle name="Gevolgde hyperlink" xfId="2573" builtinId="9" hidden="1"/>
    <cellStyle name="Gevolgde hyperlink" xfId="2575" builtinId="9" hidden="1"/>
    <cellStyle name="Gevolgde hyperlink" xfId="2577" builtinId="9" hidden="1"/>
    <cellStyle name="Gevolgde hyperlink" xfId="2579" builtinId="9" hidden="1"/>
    <cellStyle name="Gevolgde hyperlink" xfId="2581" builtinId="9" hidden="1"/>
    <cellStyle name="Gevolgde hyperlink" xfId="2583" builtinId="9" hidden="1"/>
    <cellStyle name="Gevolgde hyperlink" xfId="2585" builtinId="9" hidden="1"/>
    <cellStyle name="Gevolgde hyperlink" xfId="2587" builtinId="9" hidden="1"/>
    <cellStyle name="Gevolgde hyperlink" xfId="2589" builtinId="9" hidden="1"/>
    <cellStyle name="Gevolgde hyperlink" xfId="2591" builtinId="9" hidden="1"/>
    <cellStyle name="Gevolgde hyperlink" xfId="2593" builtinId="9" hidden="1"/>
    <cellStyle name="Gevolgde hyperlink" xfId="2595" builtinId="9" hidden="1"/>
    <cellStyle name="Gevolgde hyperlink" xfId="2597" builtinId="9" hidden="1"/>
    <cellStyle name="Gevolgde hyperlink" xfId="2599" builtinId="9" hidden="1"/>
    <cellStyle name="Gevolgde hyperlink" xfId="2601" builtinId="9" hidden="1"/>
    <cellStyle name="Gevolgde hyperlink" xfId="2603" builtinId="9" hidden="1"/>
    <cellStyle name="Gevolgde hyperlink" xfId="2605" builtinId="9" hidden="1"/>
    <cellStyle name="Gevolgde hyperlink" xfId="2607" builtinId="9" hidden="1"/>
    <cellStyle name="Gevolgde hyperlink" xfId="2609" builtinId="9" hidden="1"/>
    <cellStyle name="Gevolgde hyperlink" xfId="2611" builtinId="9" hidden="1"/>
    <cellStyle name="Gevolgde hyperlink" xfId="2613" builtinId="9" hidden="1"/>
    <cellStyle name="Gevolgde hyperlink" xfId="2615" builtinId="9" hidden="1"/>
    <cellStyle name="Gevolgde hyperlink" xfId="2617" builtinId="9" hidden="1"/>
    <cellStyle name="Gevolgde hyperlink" xfId="2619" builtinId="9" hidden="1"/>
    <cellStyle name="Gevolgde hyperlink" xfId="2621" builtinId="9" hidden="1"/>
    <cellStyle name="Gevolgde hyperlink" xfId="2623" builtinId="9" hidden="1"/>
    <cellStyle name="Gevolgde hyperlink" xfId="2625" builtinId="9" hidden="1"/>
    <cellStyle name="Gevolgde hyperlink" xfId="2627" builtinId="9" hidden="1"/>
    <cellStyle name="Gevolgde hyperlink" xfId="2629" builtinId="9" hidden="1"/>
    <cellStyle name="Gevolgde hyperlink" xfId="2631" builtinId="9" hidden="1"/>
    <cellStyle name="Gevolgde hyperlink" xfId="2633" builtinId="9" hidden="1"/>
    <cellStyle name="Gevolgde hyperlink" xfId="2635" builtinId="9" hidden="1"/>
    <cellStyle name="Gevolgde hyperlink" xfId="2637" builtinId="9" hidden="1"/>
    <cellStyle name="Gevolgde hyperlink" xfId="2639" builtinId="9" hidden="1"/>
    <cellStyle name="Gevolgde hyperlink" xfId="2641" builtinId="9" hidden="1"/>
    <cellStyle name="Gevolgde hyperlink" xfId="2643" builtinId="9" hidden="1"/>
    <cellStyle name="Gevolgde hyperlink" xfId="2645" builtinId="9" hidden="1"/>
    <cellStyle name="Gevolgde hyperlink" xfId="2647" builtinId="9" hidden="1"/>
    <cellStyle name="Gevolgde hyperlink" xfId="2649" builtinId="9" hidden="1"/>
    <cellStyle name="Gevolgde hyperlink" xfId="2651" builtinId="9" hidden="1"/>
    <cellStyle name="Gevolgde hyperlink" xfId="2653" builtinId="9" hidden="1"/>
    <cellStyle name="Gevolgde hyperlink" xfId="2655" builtinId="9" hidden="1"/>
    <cellStyle name="Gevolgde hyperlink" xfId="2657" builtinId="9" hidden="1"/>
    <cellStyle name="Gevolgde hyperlink" xfId="2659" builtinId="9" hidden="1"/>
    <cellStyle name="Gevolgde hyperlink" xfId="2661" builtinId="9" hidden="1"/>
    <cellStyle name="Gevolgde hyperlink" xfId="2663" builtinId="9" hidden="1"/>
    <cellStyle name="Gevolgde hyperlink" xfId="2665" builtinId="9" hidden="1"/>
    <cellStyle name="Gevolgde hyperlink" xfId="2667" builtinId="9" hidden="1"/>
    <cellStyle name="Gevolgde hyperlink" xfId="2669" builtinId="9" hidden="1"/>
    <cellStyle name="Gevolgde hyperlink" xfId="2671" builtinId="9" hidden="1"/>
    <cellStyle name="Gevolgde hyperlink" xfId="2673" builtinId="9" hidden="1"/>
    <cellStyle name="Gevolgde hyperlink" xfId="2675" builtinId="9" hidden="1"/>
    <cellStyle name="Gevolgde hyperlink" xfId="2677" builtinId="9" hidden="1"/>
    <cellStyle name="Gevolgde hyperlink" xfId="2679" builtinId="9" hidden="1"/>
    <cellStyle name="Gevolgde hyperlink" xfId="2681" builtinId="9" hidden="1"/>
    <cellStyle name="Gevolgde hyperlink" xfId="2683" builtinId="9" hidden="1"/>
    <cellStyle name="Gevolgde hyperlink" xfId="2685" builtinId="9" hidden="1"/>
    <cellStyle name="Gevolgde hyperlink" xfId="2687" builtinId="9" hidden="1"/>
    <cellStyle name="Gevolgde hyperlink" xfId="2689" builtinId="9" hidden="1"/>
    <cellStyle name="Gevolgde hyperlink" xfId="2691" builtinId="9" hidden="1"/>
    <cellStyle name="Gevolgde hyperlink" xfId="2693" builtinId="9" hidden="1"/>
    <cellStyle name="Gevolgde hyperlink" xfId="2695" builtinId="9" hidden="1"/>
    <cellStyle name="Gevolgde hyperlink" xfId="2697" builtinId="9" hidden="1"/>
    <cellStyle name="Gevolgde hyperlink" xfId="2699" builtinId="9" hidden="1"/>
    <cellStyle name="Gevolgde hyperlink" xfId="2701" builtinId="9" hidden="1"/>
    <cellStyle name="Gevolgde hyperlink" xfId="2703" builtinId="9" hidden="1"/>
    <cellStyle name="Gevolgde hyperlink" xfId="2705" builtinId="9" hidden="1"/>
    <cellStyle name="Gevolgde hyperlink" xfId="2707" builtinId="9" hidden="1"/>
    <cellStyle name="Gevolgde hyperlink" xfId="2709" builtinId="9" hidden="1"/>
    <cellStyle name="Gevolgde hyperlink" xfId="2711" builtinId="9" hidden="1"/>
    <cellStyle name="Gevolgde hyperlink" xfId="2713" builtinId="9" hidden="1"/>
    <cellStyle name="Gevolgde hyperlink" xfId="2715" builtinId="9" hidden="1"/>
    <cellStyle name="Gevolgde hyperlink" xfId="2717" builtinId="9" hidden="1"/>
    <cellStyle name="Gevolgde hyperlink" xfId="2719" builtinId="9" hidden="1"/>
    <cellStyle name="Gevolgde hyperlink" xfId="2721" builtinId="9" hidden="1"/>
    <cellStyle name="Gevolgde hyperlink" xfId="2723" builtinId="9" hidden="1"/>
    <cellStyle name="Gevolgde hyperlink" xfId="2725" builtinId="9" hidden="1"/>
    <cellStyle name="Gevolgde hyperlink" xfId="2727" builtinId="9" hidden="1"/>
    <cellStyle name="Gevolgde hyperlink" xfId="2729" builtinId="9" hidden="1"/>
    <cellStyle name="Gevolgde hyperlink" xfId="2731" builtinId="9" hidden="1"/>
    <cellStyle name="Gevolgde hyperlink" xfId="2733" builtinId="9" hidden="1"/>
    <cellStyle name="Gevolgde hyperlink" xfId="2735" builtinId="9" hidden="1"/>
    <cellStyle name="Gevolgde hyperlink" xfId="2737" builtinId="9" hidden="1"/>
    <cellStyle name="Gevolgde hyperlink" xfId="2739" builtinId="9" hidden="1"/>
    <cellStyle name="Gevolgde hyperlink" xfId="2741" builtinId="9" hidden="1"/>
    <cellStyle name="Gevolgde hyperlink" xfId="2743" builtinId="9" hidden="1"/>
    <cellStyle name="Gevolgde hyperlink" xfId="2745" builtinId="9" hidden="1"/>
    <cellStyle name="Gevolgde hyperlink" xfId="2747" builtinId="9" hidden="1"/>
    <cellStyle name="Gevolgde hyperlink" xfId="2749" builtinId="9" hidden="1"/>
    <cellStyle name="Gevolgde hyperlink" xfId="2751" builtinId="9" hidden="1"/>
    <cellStyle name="Gevolgde hyperlink" xfId="2753" builtinId="9" hidden="1"/>
    <cellStyle name="Gevolgde hyperlink" xfId="2755" builtinId="9" hidden="1"/>
    <cellStyle name="Gevolgde hyperlink" xfId="2757" builtinId="9" hidden="1"/>
    <cellStyle name="Gevolgde hyperlink" xfId="2759" builtinId="9" hidden="1"/>
    <cellStyle name="Gevolgde hyperlink" xfId="2761" builtinId="9" hidden="1"/>
    <cellStyle name="Gevolgde hyperlink" xfId="2763" builtinId="9" hidden="1"/>
    <cellStyle name="Gevolgde hyperlink" xfId="2765" builtinId="9" hidden="1"/>
    <cellStyle name="Gevolgde hyperlink" xfId="2767" builtinId="9" hidden="1"/>
    <cellStyle name="Gevolgde hyperlink" xfId="2769" builtinId="9" hidden="1"/>
    <cellStyle name="Gevolgde hyperlink" xfId="2771" builtinId="9" hidden="1"/>
    <cellStyle name="Gevolgde hyperlink" xfId="2773" builtinId="9" hidden="1"/>
    <cellStyle name="Gevolgde hyperlink" xfId="2775" builtinId="9" hidden="1"/>
    <cellStyle name="Gevolgde hyperlink" xfId="2777" builtinId="9" hidden="1"/>
    <cellStyle name="Gevolgde hyperlink" xfId="2779" builtinId="9" hidden="1"/>
    <cellStyle name="Gevolgde hyperlink" xfId="2781" builtinId="9" hidden="1"/>
    <cellStyle name="Gevolgde hyperlink" xfId="2783" builtinId="9" hidden="1"/>
    <cellStyle name="Gevolgde hyperlink" xfId="2785" builtinId="9" hidden="1"/>
    <cellStyle name="Gevolgde hyperlink" xfId="2787" builtinId="9" hidden="1"/>
    <cellStyle name="Gevolgde hyperlink" xfId="2789" builtinId="9" hidden="1"/>
    <cellStyle name="Gevolgde hyperlink" xfId="2791" builtinId="9" hidden="1"/>
    <cellStyle name="Gevolgde hyperlink" xfId="2793" builtinId="9" hidden="1"/>
    <cellStyle name="Gevolgde hyperlink" xfId="2795" builtinId="9" hidden="1"/>
    <cellStyle name="Gevolgde hyperlink" xfId="2797" builtinId="9" hidden="1"/>
    <cellStyle name="Gevolgde hyperlink" xfId="2799" builtinId="9" hidden="1"/>
    <cellStyle name="Gevolgde hyperlink" xfId="2801" builtinId="9" hidden="1"/>
    <cellStyle name="Gevolgde hyperlink" xfId="2803" builtinId="9" hidden="1"/>
    <cellStyle name="Gevolgde hyperlink" xfId="2805" builtinId="9" hidden="1"/>
    <cellStyle name="Gevolgde hyperlink" xfId="2807" builtinId="9" hidden="1"/>
    <cellStyle name="Gevolgde hyperlink" xfId="2809" builtinId="9" hidden="1"/>
    <cellStyle name="Gevolgde hyperlink" xfId="2811" builtinId="9" hidden="1"/>
    <cellStyle name="Gevolgde hyperlink" xfId="2813" builtinId="9" hidden="1"/>
    <cellStyle name="Gevolgde hyperlink" xfId="2815" builtinId="9" hidden="1"/>
    <cellStyle name="Gevolgde hyperlink" xfId="2817" builtinId="9" hidden="1"/>
    <cellStyle name="Gevolgde hyperlink" xfId="2819" builtinId="9" hidden="1"/>
    <cellStyle name="Gevolgde hyperlink" xfId="2821" builtinId="9" hidden="1"/>
    <cellStyle name="Gevolgde hyperlink" xfId="2823" builtinId="9" hidden="1"/>
    <cellStyle name="Gevolgde hyperlink" xfId="2825" builtinId="9" hidden="1"/>
    <cellStyle name="Gevolgde hyperlink" xfId="2827" builtinId="9" hidden="1"/>
    <cellStyle name="Gevolgde hyperlink" xfId="2829" builtinId="9" hidden="1"/>
    <cellStyle name="Gevolgde hyperlink" xfId="2831" builtinId="9" hidden="1"/>
    <cellStyle name="Gevolgde hyperlink" xfId="2833" builtinId="9" hidden="1"/>
    <cellStyle name="Gevolgde hyperlink" xfId="2835" builtinId="9" hidden="1"/>
    <cellStyle name="Gevolgde hyperlink" xfId="2837" builtinId="9" hidden="1"/>
    <cellStyle name="Gevolgde hyperlink" xfId="2839" builtinId="9" hidden="1"/>
    <cellStyle name="Gevolgde hyperlink" xfId="2841" builtinId="9" hidden="1"/>
    <cellStyle name="Gevolgde hyperlink" xfId="2843" builtinId="9" hidden="1"/>
    <cellStyle name="Gevolgde hyperlink" xfId="2845" builtinId="9" hidden="1"/>
    <cellStyle name="Gevolgde hyperlink" xfId="2847" builtinId="9" hidden="1"/>
    <cellStyle name="Gevolgde hyperlink" xfId="2849" builtinId="9" hidden="1"/>
    <cellStyle name="Gevolgde hyperlink" xfId="2851" builtinId="9" hidden="1"/>
    <cellStyle name="Gevolgde hyperlink" xfId="2853" builtinId="9" hidden="1"/>
    <cellStyle name="Gevolgde hyperlink" xfId="2855" builtinId="9" hidden="1"/>
    <cellStyle name="Gevolgde hyperlink" xfId="2857" builtinId="9" hidden="1"/>
    <cellStyle name="Gevolgde hyperlink" xfId="2859" builtinId="9" hidden="1"/>
    <cellStyle name="Gevolgde hyperlink" xfId="2861" builtinId="9" hidden="1"/>
    <cellStyle name="Gevolgde hyperlink" xfId="2863" builtinId="9" hidden="1"/>
    <cellStyle name="Gevolgde hyperlink" xfId="2865" builtinId="9" hidden="1"/>
    <cellStyle name="Gevolgde hyperlink" xfId="2867" builtinId="9" hidden="1"/>
    <cellStyle name="Gevolgde hyperlink" xfId="2869" builtinId="9" hidden="1"/>
    <cellStyle name="Gevolgde hyperlink" xfId="2871" builtinId="9" hidden="1"/>
    <cellStyle name="Gevolgde hyperlink" xfId="2873" builtinId="9" hidden="1"/>
    <cellStyle name="Gevolgde hyperlink" xfId="2875" builtinId="9" hidden="1"/>
    <cellStyle name="Gevolgde hyperlink" xfId="2877" builtinId="9" hidden="1"/>
    <cellStyle name="Gevolgde hyperlink" xfId="2879" builtinId="9" hidden="1"/>
    <cellStyle name="Gevolgde hyperlink" xfId="2881" builtinId="9" hidden="1"/>
    <cellStyle name="Gevolgde hyperlink" xfId="2883" builtinId="9" hidden="1"/>
    <cellStyle name="Gevolgde hyperlink" xfId="2885" builtinId="9" hidden="1"/>
    <cellStyle name="Gevolgde hyperlink" xfId="2887" builtinId="9" hidden="1"/>
    <cellStyle name="Gevolgde hyperlink" xfId="2889" builtinId="9" hidden="1"/>
    <cellStyle name="Gevolgde hyperlink" xfId="2891" builtinId="9" hidden="1"/>
    <cellStyle name="Gevolgde hyperlink" xfId="2893" builtinId="9" hidden="1"/>
    <cellStyle name="Gevolgde hyperlink" xfId="2895" builtinId="9" hidden="1"/>
    <cellStyle name="Gevolgde hyperlink" xfId="2897" builtinId="9" hidden="1"/>
    <cellStyle name="Gevolgde hyperlink" xfId="2899" builtinId="9" hidden="1"/>
    <cellStyle name="Gevolgde hyperlink" xfId="2901" builtinId="9" hidden="1"/>
    <cellStyle name="Gevolgde hyperlink" xfId="2903" builtinId="9" hidden="1"/>
    <cellStyle name="Gevolgde hyperlink" xfId="2905" builtinId="9" hidden="1"/>
    <cellStyle name="Gevolgde hyperlink" xfId="2907" builtinId="9" hidden="1"/>
    <cellStyle name="Gevolgde hyperlink" xfId="2909" builtinId="9" hidden="1"/>
    <cellStyle name="Gevolgde hyperlink" xfId="2911" builtinId="9" hidden="1"/>
    <cellStyle name="Gevolgde hyperlink" xfId="2913" builtinId="9" hidden="1"/>
    <cellStyle name="Gevolgde hyperlink" xfId="2915" builtinId="9" hidden="1"/>
    <cellStyle name="Gevolgde hyperlink" xfId="2917" builtinId="9" hidden="1"/>
    <cellStyle name="Gevolgde hyperlink" xfId="2919" builtinId="9" hidden="1"/>
    <cellStyle name="Gevolgde hyperlink" xfId="2921" builtinId="9" hidden="1"/>
    <cellStyle name="Gevolgde hyperlink" xfId="2923" builtinId="9" hidden="1"/>
    <cellStyle name="Gevolgde hyperlink" xfId="2925" builtinId="9" hidden="1"/>
    <cellStyle name="Gevolgde hyperlink" xfId="2927" builtinId="9" hidden="1"/>
    <cellStyle name="Gevolgde hyperlink" xfId="2929" builtinId="9" hidden="1"/>
    <cellStyle name="Gevolgde hyperlink" xfId="2931" builtinId="9" hidden="1"/>
    <cellStyle name="Gevolgde hyperlink" xfId="2933" builtinId="9" hidden="1"/>
    <cellStyle name="Gevolgde hyperlink" xfId="2935" builtinId="9" hidden="1"/>
    <cellStyle name="Gevolgde hyperlink" xfId="2937" builtinId="9" hidden="1"/>
    <cellStyle name="Gevolgde hyperlink" xfId="2939" builtinId="9" hidden="1"/>
    <cellStyle name="Gevolgde hyperlink" xfId="2941" builtinId="9" hidden="1"/>
    <cellStyle name="Gevolgde hyperlink" xfId="2943" builtinId="9" hidden="1"/>
    <cellStyle name="Gevolgde hyperlink" xfId="2945" builtinId="9" hidden="1"/>
    <cellStyle name="Gevolgde hyperlink" xfId="2947" builtinId="9" hidden="1"/>
    <cellStyle name="Gevolgde hyperlink" xfId="2949" builtinId="9" hidden="1"/>
    <cellStyle name="Gevolgde hyperlink" xfId="2951" builtinId="9" hidden="1"/>
    <cellStyle name="Gevolgde hyperlink" xfId="2953" builtinId="9" hidden="1"/>
    <cellStyle name="Gevolgde hyperlink" xfId="2955" builtinId="9" hidden="1"/>
    <cellStyle name="Gevolgde hyperlink" xfId="2957" builtinId="9" hidden="1"/>
    <cellStyle name="Gevolgde hyperlink" xfId="2959" builtinId="9" hidden="1"/>
    <cellStyle name="Gevolgde hyperlink" xfId="2961" builtinId="9" hidden="1"/>
    <cellStyle name="Gevolgde hyperlink" xfId="2963" builtinId="9" hidden="1"/>
    <cellStyle name="Gevolgde hyperlink" xfId="2965" builtinId="9" hidden="1"/>
    <cellStyle name="Gevolgde hyperlink" xfId="2967" builtinId="9" hidden="1"/>
    <cellStyle name="Gevolgde hyperlink" xfId="2969" builtinId="9" hidden="1"/>
    <cellStyle name="Gevolgde hyperlink" xfId="2971" builtinId="9" hidden="1"/>
    <cellStyle name="Gevolgde hyperlink" xfId="2973" builtinId="9" hidden="1"/>
    <cellStyle name="Gevolgde hyperlink" xfId="2975" builtinId="9" hidden="1"/>
    <cellStyle name="Gevolgde hyperlink" xfId="2977" builtinId="9" hidden="1"/>
    <cellStyle name="Gevolgde hyperlink" xfId="2979" builtinId="9" hidden="1"/>
    <cellStyle name="Gevolgde hyperlink" xfId="2981" builtinId="9" hidden="1"/>
    <cellStyle name="Gevolgde hyperlink" xfId="2983" builtinId="9" hidden="1"/>
    <cellStyle name="Gevolgde hyperlink" xfId="2985" builtinId="9" hidden="1"/>
    <cellStyle name="Gevolgde hyperlink" xfId="2987" builtinId="9" hidden="1"/>
    <cellStyle name="Gevolgde hyperlink" xfId="2989" builtinId="9" hidden="1"/>
    <cellStyle name="Gevolgde hyperlink" xfId="2991" builtinId="9" hidden="1"/>
    <cellStyle name="Gevolgde hyperlink" xfId="2993" builtinId="9" hidden="1"/>
    <cellStyle name="Gevolgde hyperlink" xfId="2995" builtinId="9" hidden="1"/>
    <cellStyle name="Gevolgde hyperlink" xfId="2997" builtinId="9" hidden="1"/>
    <cellStyle name="Gevolgde hyperlink" xfId="2999" builtinId="9" hidden="1"/>
    <cellStyle name="Gevolgde hyperlink" xfId="3001" builtinId="9" hidden="1"/>
    <cellStyle name="Gevolgde hyperlink" xfId="3003" builtinId="9" hidden="1"/>
    <cellStyle name="Gevolgde hyperlink" xfId="3005" builtinId="9" hidden="1"/>
    <cellStyle name="Gevolgde hyperlink" xfId="3007" builtinId="9" hidden="1"/>
    <cellStyle name="Gevolgde hyperlink" xfId="3009" builtinId="9" hidden="1"/>
    <cellStyle name="Gevolgde hyperlink" xfId="3011" builtinId="9" hidden="1"/>
    <cellStyle name="Gevolgde hyperlink" xfId="3013" builtinId="9" hidden="1"/>
    <cellStyle name="Gevolgde hyperlink" xfId="3015" builtinId="9" hidden="1"/>
    <cellStyle name="Gevolgde hyperlink" xfId="3017" builtinId="9" hidden="1"/>
    <cellStyle name="Gevolgde hyperlink" xfId="3019" builtinId="9" hidden="1"/>
    <cellStyle name="Gevolgde hyperlink" xfId="3021" builtinId="9" hidden="1"/>
    <cellStyle name="Gevolgde hyperlink" xfId="3023" builtinId="9" hidden="1"/>
    <cellStyle name="Gevolgde hyperlink" xfId="3025" builtinId="9" hidden="1"/>
    <cellStyle name="Gevolgde hyperlink" xfId="3027" builtinId="9" hidden="1"/>
    <cellStyle name="Gevolgde hyperlink" xfId="3029" builtinId="9" hidden="1"/>
    <cellStyle name="Gevolgde hyperlink" xfId="3031" builtinId="9" hidden="1"/>
    <cellStyle name="Gevolgde hyperlink" xfId="3033" builtinId="9" hidden="1"/>
    <cellStyle name="Gevolgde hyperlink" xfId="3035" builtinId="9" hidden="1"/>
    <cellStyle name="Gevolgde hyperlink" xfId="3037" builtinId="9" hidden="1"/>
    <cellStyle name="Gevolgde hyperlink" xfId="3039" builtinId="9" hidden="1"/>
    <cellStyle name="Gevolgde hyperlink" xfId="3041" builtinId="9" hidden="1"/>
    <cellStyle name="Gevolgde hyperlink" xfId="3043" builtinId="9" hidden="1"/>
    <cellStyle name="Gevolgde hyperlink" xfId="3045" builtinId="9" hidden="1"/>
    <cellStyle name="Gevolgde hyperlink" xfId="3047" builtinId="9" hidden="1"/>
    <cellStyle name="Gevolgde hyperlink" xfId="3049" builtinId="9" hidden="1"/>
    <cellStyle name="Gevolgde hyperlink" xfId="3051" builtinId="9" hidden="1"/>
    <cellStyle name="Gevolgde hyperlink" xfId="3053" builtinId="9" hidden="1"/>
    <cellStyle name="Gevolgde hyperlink" xfId="3055" builtinId="9" hidden="1"/>
    <cellStyle name="Gevolgde hyperlink" xfId="3057" builtinId="9" hidden="1"/>
    <cellStyle name="Gevolgde hyperlink" xfId="3059" builtinId="9" hidden="1"/>
    <cellStyle name="Gevolgde hyperlink" xfId="3061" builtinId="9" hidden="1"/>
    <cellStyle name="Gevolgde hyperlink" xfId="3063" builtinId="9" hidden="1"/>
    <cellStyle name="Gevolgde hyperlink" xfId="3065" builtinId="9" hidden="1"/>
    <cellStyle name="Gevolgde hyperlink" xfId="3067" builtinId="9" hidden="1"/>
    <cellStyle name="Gevolgde hyperlink" xfId="3069" builtinId="9" hidden="1"/>
    <cellStyle name="Gevolgde hyperlink" xfId="3071" builtinId="9" hidden="1"/>
    <cellStyle name="Gevolgde hyperlink" xfId="3073" builtinId="9" hidden="1"/>
    <cellStyle name="Gevolgde hyperlink" xfId="3075" builtinId="9" hidden="1"/>
    <cellStyle name="Gevolgde hyperlink" xfId="3077" builtinId="9" hidden="1"/>
    <cellStyle name="Gevolgde hyperlink" xfId="3079" builtinId="9" hidden="1"/>
    <cellStyle name="Gevolgde hyperlink" xfId="3081" builtinId="9" hidden="1"/>
    <cellStyle name="Gevolgde hyperlink" xfId="3083" builtinId="9" hidden="1"/>
    <cellStyle name="Gevolgde hyperlink" xfId="3085" builtinId="9" hidden="1"/>
    <cellStyle name="Gevolgde hyperlink" xfId="3087" builtinId="9" hidden="1"/>
    <cellStyle name="Gevolgde hyperlink" xfId="3089" builtinId="9" hidden="1"/>
    <cellStyle name="Gevolgde hyperlink" xfId="3091" builtinId="9" hidden="1"/>
    <cellStyle name="Gevolgde hyperlink" xfId="3093" builtinId="9" hidden="1"/>
    <cellStyle name="Gevolgde hyperlink" xfId="3095" builtinId="9" hidden="1"/>
    <cellStyle name="Gevolgde hyperlink" xfId="3097" builtinId="9" hidden="1"/>
    <cellStyle name="Gevolgde hyperlink" xfId="3099" builtinId="9" hidden="1"/>
    <cellStyle name="Gevolgde hyperlink" xfId="3101" builtinId="9" hidden="1"/>
    <cellStyle name="Gevolgde hyperlink" xfId="3103" builtinId="9" hidden="1"/>
    <cellStyle name="Gevolgde hyperlink" xfId="3105" builtinId="9" hidden="1"/>
    <cellStyle name="Gevolgde hyperlink" xfId="3107" builtinId="9" hidden="1"/>
    <cellStyle name="Gevolgde hyperlink" xfId="3109" builtinId="9" hidden="1"/>
    <cellStyle name="Gevolgde hyperlink" xfId="3111" builtinId="9" hidden="1"/>
    <cellStyle name="Gevolgde hyperlink" xfId="3113" builtinId="9" hidden="1"/>
    <cellStyle name="Gevolgde hyperlink" xfId="3115" builtinId="9" hidden="1"/>
    <cellStyle name="Gevolgde hyperlink" xfId="3117" builtinId="9" hidden="1"/>
    <cellStyle name="Gevolgde hyperlink" xfId="3119" builtinId="9" hidden="1"/>
    <cellStyle name="Gevolgde hyperlink" xfId="3121" builtinId="9" hidden="1"/>
    <cellStyle name="Gevolgde hyperlink" xfId="3123" builtinId="9" hidden="1"/>
    <cellStyle name="Gevolgde hyperlink" xfId="3125" builtinId="9" hidden="1"/>
    <cellStyle name="Gevolgde hyperlink" xfId="3127" builtinId="9" hidden="1"/>
    <cellStyle name="Gevolgde hyperlink" xfId="3129" builtinId="9" hidden="1"/>
    <cellStyle name="Gevolgde hyperlink" xfId="3131" builtinId="9" hidden="1"/>
    <cellStyle name="Gevolgde hyperlink" xfId="3133" builtinId="9" hidden="1"/>
    <cellStyle name="Gevolgde hyperlink" xfId="3135" builtinId="9" hidden="1"/>
    <cellStyle name="Gevolgde hyperlink" xfId="3137" builtinId="9" hidden="1"/>
    <cellStyle name="Gevolgde hyperlink" xfId="3139" builtinId="9" hidden="1"/>
    <cellStyle name="Gevolgde hyperlink" xfId="3141" builtinId="9" hidden="1"/>
    <cellStyle name="Gevolgde hyperlink" xfId="3143" builtinId="9" hidden="1"/>
    <cellStyle name="Gevolgde hyperlink" xfId="3145" builtinId="9" hidden="1"/>
    <cellStyle name="Gevolgde hyperlink" xfId="3147" builtinId="9" hidden="1"/>
    <cellStyle name="Gevolgde hyperlink" xfId="3149" builtinId="9" hidden="1"/>
    <cellStyle name="Gevolgde hyperlink" xfId="3151" builtinId="9" hidden="1"/>
    <cellStyle name="Gevolgde hyperlink" xfId="3153" builtinId="9" hidden="1"/>
    <cellStyle name="Gevolgde hyperlink" xfId="3155" builtinId="9" hidden="1"/>
    <cellStyle name="Gevolgde hyperlink" xfId="3157" builtinId="9" hidden="1"/>
    <cellStyle name="Gevolgde hyperlink" xfId="3159" builtinId="9" hidden="1"/>
    <cellStyle name="Gevolgde hyperlink" xfId="3161" builtinId="9" hidden="1"/>
    <cellStyle name="Gevolgde hyperlink" xfId="3163" builtinId="9" hidden="1"/>
    <cellStyle name="Gevolgde hyperlink" xfId="3165" builtinId="9" hidden="1"/>
    <cellStyle name="Gevolgde hyperlink" xfId="3167" builtinId="9" hidden="1"/>
    <cellStyle name="Gevolgde hyperlink" xfId="3169" builtinId="9" hidden="1"/>
    <cellStyle name="Gevolgde hyperlink" xfId="3171" builtinId="9" hidden="1"/>
    <cellStyle name="Gevolgde hyperlink" xfId="3173" builtinId="9" hidden="1"/>
    <cellStyle name="Gevolgde hyperlink" xfId="3175" builtinId="9" hidden="1"/>
    <cellStyle name="Gevolgde hyperlink" xfId="3177" builtinId="9" hidden="1"/>
    <cellStyle name="Gevolgde hyperlink" xfId="3179" builtinId="9" hidden="1"/>
    <cellStyle name="Gevolgde hyperlink" xfId="3181" builtinId="9" hidden="1"/>
    <cellStyle name="Gevolgde hyperlink" xfId="3183" builtinId="9" hidden="1"/>
    <cellStyle name="Gevolgde hyperlink" xfId="3185" builtinId="9" hidden="1"/>
    <cellStyle name="Gevolgde hyperlink" xfId="3187" builtinId="9" hidden="1"/>
    <cellStyle name="Gevolgde hyperlink" xfId="3189" builtinId="9" hidden="1"/>
    <cellStyle name="Gevolgde hyperlink" xfId="3191" builtinId="9" hidden="1"/>
    <cellStyle name="Gevolgde hyperlink" xfId="3193" builtinId="9" hidden="1"/>
    <cellStyle name="Gevolgde hyperlink" xfId="3195" builtinId="9" hidden="1"/>
    <cellStyle name="Gevolgde hyperlink" xfId="3197" builtinId="9" hidden="1"/>
    <cellStyle name="Gevolgde hyperlink" xfId="3199" builtinId="9" hidden="1"/>
    <cellStyle name="Gevolgde hyperlink" xfId="3201" builtinId="9" hidden="1"/>
    <cellStyle name="Gevolgde hyperlink" xfId="3203" builtinId="9" hidden="1"/>
    <cellStyle name="Gevolgde hyperlink" xfId="3205" builtinId="9" hidden="1"/>
    <cellStyle name="Gevolgde hyperlink" xfId="3207" builtinId="9" hidden="1"/>
    <cellStyle name="Gevolgde hyperlink" xfId="3209" builtinId="9" hidden="1"/>
    <cellStyle name="Gevolgde hyperlink" xfId="3211" builtinId="9" hidden="1"/>
    <cellStyle name="Gevolgde hyperlink" xfId="3213" builtinId="9" hidden="1"/>
    <cellStyle name="Gevolgde hyperlink" xfId="3215" builtinId="9" hidden="1"/>
    <cellStyle name="Gevolgde hyperlink" xfId="3217" builtinId="9" hidden="1"/>
    <cellStyle name="Gevolgde hyperlink" xfId="3219" builtinId="9" hidden="1"/>
    <cellStyle name="Gevolgde hyperlink" xfId="3221" builtinId="9" hidden="1"/>
    <cellStyle name="Gevolgde hyperlink" xfId="3223" builtinId="9" hidden="1"/>
    <cellStyle name="Gevolgde hyperlink" xfId="3225" builtinId="9" hidden="1"/>
    <cellStyle name="Gevolgde hyperlink" xfId="3227" builtinId="9" hidden="1"/>
    <cellStyle name="Gevolgde hyperlink" xfId="3229" builtinId="9" hidden="1"/>
    <cellStyle name="Gevolgde hyperlink" xfId="3231" builtinId="9" hidden="1"/>
    <cellStyle name="Gevolgde hyperlink" xfId="3233" builtinId="9" hidden="1"/>
    <cellStyle name="Gevolgde hyperlink" xfId="3235" builtinId="9" hidden="1"/>
    <cellStyle name="Gevolgde hyperlink" xfId="3237" builtinId="9" hidden="1"/>
    <cellStyle name="Gevolgde hyperlink" xfId="3239" builtinId="9" hidden="1"/>
    <cellStyle name="Gevolgde hyperlink" xfId="3241" builtinId="9" hidden="1"/>
    <cellStyle name="Gevolgde hyperlink" xfId="3243" builtinId="9" hidden="1"/>
    <cellStyle name="Gevolgde hyperlink" xfId="3245" builtinId="9" hidden="1"/>
    <cellStyle name="Gevolgde hyperlink" xfId="3247" builtinId="9" hidden="1"/>
    <cellStyle name="Gevolgde hyperlink" xfId="3249" builtinId="9" hidden="1"/>
    <cellStyle name="Gevolgde hyperlink" xfId="3251" builtinId="9" hidden="1"/>
    <cellStyle name="Gevolgde hyperlink" xfId="3253" builtinId="9" hidden="1"/>
    <cellStyle name="Gevolgde hyperlink" xfId="3255" builtinId="9" hidden="1"/>
    <cellStyle name="Gevolgde hyperlink" xfId="3257" builtinId="9" hidden="1"/>
    <cellStyle name="Gevolgde hyperlink" xfId="3259" builtinId="9" hidden="1"/>
    <cellStyle name="Gevolgde hyperlink" xfId="3261" builtinId="9" hidden="1"/>
    <cellStyle name="Gevolgde hyperlink" xfId="3263" builtinId="9" hidden="1"/>
    <cellStyle name="Gevolgde hyperlink" xfId="3265" builtinId="9" hidden="1"/>
    <cellStyle name="Gevolgde hyperlink" xfId="3267" builtinId="9" hidden="1"/>
    <cellStyle name="Gevolgde hyperlink" xfId="3269" builtinId="9" hidden="1"/>
    <cellStyle name="Gevolgde hyperlink" xfId="3271" builtinId="9" hidden="1"/>
    <cellStyle name="Gevolgde hyperlink" xfId="3273" builtinId="9" hidden="1"/>
    <cellStyle name="Gevolgde hyperlink" xfId="3275" builtinId="9" hidden="1"/>
    <cellStyle name="Gevolgde hyperlink" xfId="3277" builtinId="9" hidden="1"/>
    <cellStyle name="Gevolgde hyperlink" xfId="3279" builtinId="9" hidden="1"/>
    <cellStyle name="Gevolgde hyperlink" xfId="3281" builtinId="9" hidden="1"/>
    <cellStyle name="Gevolgde hyperlink" xfId="3283" builtinId="9" hidden="1"/>
    <cellStyle name="Gevolgde hyperlink" xfId="3285" builtinId="9" hidden="1"/>
    <cellStyle name="Gevolgde hyperlink" xfId="3287" builtinId="9" hidden="1"/>
    <cellStyle name="Gevolgde hyperlink" xfId="3289" builtinId="9" hidden="1"/>
    <cellStyle name="Gevolgde hyperlink" xfId="3291" builtinId="9" hidden="1"/>
    <cellStyle name="Gevolgde hyperlink" xfId="3293" builtinId="9" hidden="1"/>
    <cellStyle name="Gevolgde hyperlink" xfId="3295" builtinId="9" hidden="1"/>
    <cellStyle name="Gevolgde hyperlink" xfId="3297" builtinId="9" hidden="1"/>
    <cellStyle name="Gevolgde hyperlink" xfId="3299" builtinId="9" hidden="1"/>
    <cellStyle name="Gevolgde hyperlink" xfId="3301" builtinId="9" hidden="1"/>
    <cellStyle name="Gevolgde hyperlink" xfId="3303" builtinId="9" hidden="1"/>
    <cellStyle name="Gevolgde hyperlink" xfId="3305" builtinId="9" hidden="1"/>
    <cellStyle name="Gevolgde hyperlink" xfId="3307" builtinId="9" hidden="1"/>
    <cellStyle name="Gevolgde hyperlink" xfId="3309" builtinId="9" hidden="1"/>
    <cellStyle name="Gevolgde hyperlink" xfId="3311" builtinId="9" hidden="1"/>
    <cellStyle name="Gevolgde hyperlink" xfId="3313" builtinId="9" hidden="1"/>
    <cellStyle name="Gevolgde hyperlink" xfId="3315" builtinId="9" hidden="1"/>
    <cellStyle name="Gevolgde hyperlink" xfId="3317" builtinId="9" hidden="1"/>
    <cellStyle name="Gevolgde hyperlink" xfId="3319" builtinId="9" hidden="1"/>
    <cellStyle name="Gevolgde hyperlink" xfId="3321" builtinId="9" hidden="1"/>
    <cellStyle name="Gevolgde hyperlink" xfId="3323" builtinId="9" hidden="1"/>
    <cellStyle name="Gevolgde hyperlink" xfId="3325" builtinId="9" hidden="1"/>
    <cellStyle name="Gevolgde hyperlink" xfId="3327" builtinId="9" hidden="1"/>
    <cellStyle name="Gevolgde hyperlink" xfId="3329" builtinId="9" hidden="1"/>
    <cellStyle name="Gevolgde hyperlink" xfId="3331" builtinId="9" hidden="1"/>
    <cellStyle name="Gevolgde hyperlink" xfId="3333" builtinId="9" hidden="1"/>
    <cellStyle name="Gevolgde hyperlink" xfId="3335" builtinId="9" hidden="1"/>
    <cellStyle name="Gevolgde hyperlink" xfId="3337" builtinId="9" hidden="1"/>
    <cellStyle name="Gevolgde hyperlink" xfId="3339" builtinId="9" hidden="1"/>
    <cellStyle name="Gevolgde hyperlink" xfId="3341" builtinId="9" hidden="1"/>
    <cellStyle name="Gevolgde hyperlink" xfId="3343" builtinId="9" hidden="1"/>
    <cellStyle name="Gevolgde hyperlink" xfId="3345" builtinId="9" hidden="1"/>
    <cellStyle name="Gevolgde hyperlink" xfId="3347" builtinId="9" hidden="1"/>
    <cellStyle name="Gevolgde hyperlink" xfId="3349" builtinId="9" hidden="1"/>
    <cellStyle name="Gevolgde hyperlink" xfId="3351" builtinId="9" hidden="1"/>
    <cellStyle name="Gevolgde hyperlink" xfId="3353" builtinId="9" hidden="1"/>
    <cellStyle name="Gevolgde hyperlink" xfId="3355" builtinId="9" hidden="1"/>
    <cellStyle name="Gevolgde hyperlink" xfId="3357" builtinId="9" hidden="1"/>
    <cellStyle name="Gevolgde hyperlink" xfId="3359" builtinId="9" hidden="1"/>
    <cellStyle name="Gevolgde hyperlink" xfId="3361" builtinId="9" hidden="1"/>
    <cellStyle name="Gevolgde hyperlink" xfId="3363" builtinId="9" hidden="1"/>
    <cellStyle name="Gevolgde hyperlink" xfId="3365" builtinId="9" hidden="1"/>
    <cellStyle name="Gevolgde hyperlink" xfId="3367" builtinId="9" hidden="1"/>
    <cellStyle name="Gevolgde hyperlink" xfId="3369" builtinId="9" hidden="1"/>
    <cellStyle name="Gevolgde hyperlink" xfId="3371" builtinId="9" hidden="1"/>
    <cellStyle name="Gevolgde hyperlink" xfId="3373" builtinId="9" hidden="1"/>
    <cellStyle name="Gevolgde hyperlink" xfId="3375" builtinId="9" hidden="1"/>
    <cellStyle name="Gevolgde hyperlink" xfId="3377" builtinId="9" hidden="1"/>
    <cellStyle name="Gevolgde hyperlink" xfId="3379" builtinId="9" hidden="1"/>
    <cellStyle name="Gevolgde hyperlink" xfId="3381" builtinId="9" hidden="1"/>
    <cellStyle name="Gevolgde hyperlink" xfId="3383" builtinId="9" hidden="1"/>
    <cellStyle name="Gevolgde hyperlink" xfId="3385" builtinId="9" hidden="1"/>
    <cellStyle name="Gevolgde hyperlink" xfId="3387" builtinId="9" hidden="1"/>
    <cellStyle name="Gevolgde hyperlink" xfId="3389" builtinId="9" hidden="1"/>
    <cellStyle name="Gevolgde hyperlink" xfId="3391" builtinId="9" hidden="1"/>
    <cellStyle name="Gevolgde hyperlink" xfId="3393" builtinId="9" hidden="1"/>
    <cellStyle name="Gevolgde hyperlink" xfId="3395" builtinId="9" hidden="1"/>
    <cellStyle name="Gevolgde hyperlink" xfId="3397" builtinId="9" hidden="1"/>
    <cellStyle name="Gevolgde hyperlink" xfId="3399" builtinId="9" hidden="1"/>
    <cellStyle name="Gevolgde hyperlink" xfId="3401" builtinId="9" hidden="1"/>
    <cellStyle name="Gevolgde hyperlink" xfId="3403" builtinId="9" hidden="1"/>
    <cellStyle name="Gevolgde hyperlink" xfId="3405" builtinId="9" hidden="1"/>
    <cellStyle name="Gevolgde hyperlink" xfId="3407" builtinId="9" hidden="1"/>
    <cellStyle name="Gevolgde hyperlink" xfId="3409" builtinId="9" hidden="1"/>
    <cellStyle name="Gevolgde hyperlink" xfId="3411" builtinId="9" hidden="1"/>
    <cellStyle name="Gevolgde hyperlink" xfId="3413" builtinId="9" hidden="1"/>
    <cellStyle name="Gevolgde hyperlink" xfId="3415" builtinId="9" hidden="1"/>
    <cellStyle name="Gevolgde hyperlink" xfId="3417" builtinId="9" hidden="1"/>
    <cellStyle name="Gevolgde hyperlink" xfId="3419" builtinId="9" hidden="1"/>
    <cellStyle name="Gevolgde hyperlink" xfId="3421" builtinId="9" hidden="1"/>
    <cellStyle name="Gevolgde hyperlink" xfId="3423" builtinId="9" hidden="1"/>
    <cellStyle name="Gevolgde hyperlink" xfId="3425" builtinId="9" hidden="1"/>
    <cellStyle name="Gevolgde hyperlink" xfId="3427" builtinId="9" hidden="1"/>
    <cellStyle name="Gevolgde hyperlink" xfId="3429" builtinId="9" hidden="1"/>
    <cellStyle name="Gevolgde hyperlink" xfId="3431" builtinId="9" hidden="1"/>
    <cellStyle name="Gevolgde hyperlink" xfId="3433" builtinId="9" hidden="1"/>
    <cellStyle name="Gevolgde hyperlink" xfId="3435" builtinId="9" hidden="1"/>
    <cellStyle name="Gevolgde hyperlink" xfId="3437" builtinId="9" hidden="1"/>
    <cellStyle name="Gevolgde hyperlink" xfId="3439" builtinId="9" hidden="1"/>
    <cellStyle name="Gevolgde hyperlink" xfId="3441" builtinId="9" hidden="1"/>
    <cellStyle name="Gevolgde hyperlink" xfId="3443" builtinId="9" hidden="1"/>
    <cellStyle name="Gevolgde hyperlink" xfId="3445" builtinId="9" hidden="1"/>
    <cellStyle name="Gevolgde hyperlink" xfId="3447" builtinId="9" hidden="1"/>
    <cellStyle name="Gevolgde hyperlink" xfId="3449" builtinId="9" hidden="1"/>
    <cellStyle name="Gevolgde hyperlink" xfId="3451" builtinId="9" hidden="1"/>
    <cellStyle name="Gevolgde hyperlink" xfId="3453" builtinId="9" hidden="1"/>
    <cellStyle name="Gevolgde hyperlink" xfId="3455" builtinId="9" hidden="1"/>
    <cellStyle name="Gevolgde hyperlink" xfId="3457" builtinId="9" hidden="1"/>
    <cellStyle name="Gevolgde hyperlink" xfId="3459" builtinId="9" hidden="1"/>
    <cellStyle name="Gevolgde hyperlink" xfId="3461" builtinId="9" hidden="1"/>
    <cellStyle name="Gevolgde hyperlink" xfId="3463" builtinId="9" hidden="1"/>
    <cellStyle name="Gevolgde hyperlink" xfId="3465" builtinId="9" hidden="1"/>
    <cellStyle name="Gevolgde hyperlink" xfId="3467" builtinId="9" hidden="1"/>
    <cellStyle name="Gevolgde hyperlink" xfId="3469" builtinId="9" hidden="1"/>
    <cellStyle name="Gevolgde hyperlink" xfId="3471" builtinId="9" hidden="1"/>
    <cellStyle name="Gevolgde hyperlink" xfId="3473" builtinId="9" hidden="1"/>
    <cellStyle name="Gevolgde hyperlink" xfId="3475" builtinId="9" hidden="1"/>
    <cellStyle name="Gevolgde hyperlink" xfId="3477" builtinId="9" hidden="1"/>
    <cellStyle name="Gevolgde hyperlink" xfId="3479" builtinId="9" hidden="1"/>
    <cellStyle name="Gevolgde hyperlink" xfId="3481" builtinId="9" hidden="1"/>
    <cellStyle name="Gevolgde hyperlink" xfId="3483" builtinId="9" hidden="1"/>
    <cellStyle name="Gevolgde hyperlink" xfId="3485" builtinId="9" hidden="1"/>
    <cellStyle name="Gevolgde hyperlink" xfId="3487" builtinId="9" hidden="1"/>
    <cellStyle name="Gevolgde hyperlink" xfId="3489" builtinId="9" hidden="1"/>
    <cellStyle name="Gevolgde hyperlink" xfId="3491" builtinId="9" hidden="1"/>
    <cellStyle name="Gevolgde hyperlink" xfId="3493" builtinId="9" hidden="1"/>
    <cellStyle name="Gevolgde hyperlink" xfId="3495" builtinId="9" hidden="1"/>
    <cellStyle name="Gevolgde hyperlink" xfId="3497" builtinId="9" hidden="1"/>
    <cellStyle name="Gevolgde hyperlink" xfId="3499" builtinId="9" hidden="1"/>
    <cellStyle name="Gevolgde hyperlink" xfId="3501" builtinId="9" hidden="1"/>
    <cellStyle name="Gevolgde hyperlink" xfId="3503" builtinId="9" hidden="1"/>
    <cellStyle name="Gevolgde hyperlink" xfId="3505" builtinId="9" hidden="1"/>
    <cellStyle name="Gevolgde hyperlink" xfId="3507" builtinId="9" hidden="1"/>
    <cellStyle name="Gevolgde hyperlink" xfId="3509" builtinId="9" hidden="1"/>
    <cellStyle name="Gevolgde hyperlink" xfId="3511" builtinId="9" hidden="1"/>
    <cellStyle name="Gevolgde hyperlink" xfId="3513" builtinId="9" hidden="1"/>
    <cellStyle name="Gevolgde hyperlink" xfId="3515" builtinId="9" hidden="1"/>
    <cellStyle name="Gevolgde hyperlink" xfId="3517" builtinId="9" hidden="1"/>
    <cellStyle name="Gevolgde hyperlink" xfId="3519" builtinId="9" hidden="1"/>
    <cellStyle name="Gevolgde hyperlink" xfId="3521" builtinId="9" hidden="1"/>
    <cellStyle name="Gevolgde hyperlink" xfId="3523" builtinId="9" hidden="1"/>
    <cellStyle name="Gevolgde hyperlink" xfId="3525" builtinId="9" hidden="1"/>
    <cellStyle name="Gevolgde hyperlink" xfId="3527" builtinId="9" hidden="1"/>
    <cellStyle name="Gevolgde hyperlink" xfId="3529" builtinId="9" hidden="1"/>
    <cellStyle name="Gevolgde hyperlink" xfId="3531" builtinId="9" hidden="1"/>
    <cellStyle name="Gevolgde hyperlink" xfId="3533" builtinId="9" hidden="1"/>
    <cellStyle name="Gevolgde hyperlink" xfId="3535" builtinId="9" hidden="1"/>
    <cellStyle name="Gevolgde hyperlink" xfId="3537" builtinId="9" hidden="1"/>
    <cellStyle name="Gevolgde hyperlink" xfId="3539" builtinId="9" hidden="1"/>
    <cellStyle name="Gevolgde hyperlink" xfId="3541" builtinId="9" hidden="1"/>
    <cellStyle name="Gevolgde hyperlink" xfId="3543" builtinId="9" hidden="1"/>
    <cellStyle name="Gevolgde hyperlink" xfId="3545" builtinId="9" hidden="1"/>
    <cellStyle name="Gevolgde hyperlink" xfId="3547" builtinId="9" hidden="1"/>
    <cellStyle name="Gevolgde hyperlink" xfId="3549" builtinId="9" hidden="1"/>
    <cellStyle name="Gevolgde hyperlink" xfId="3551" builtinId="9" hidden="1"/>
    <cellStyle name="Gevolgde hyperlink" xfId="3553" builtinId="9" hidden="1"/>
    <cellStyle name="Gevolgde hyperlink" xfId="3555" builtinId="9" hidden="1"/>
    <cellStyle name="Gevolgde hyperlink" xfId="3557" builtinId="9" hidden="1"/>
    <cellStyle name="Gevolgde hyperlink" xfId="3559" builtinId="9" hidden="1"/>
    <cellStyle name="Gevolgde hyperlink" xfId="3561" builtinId="9" hidden="1"/>
    <cellStyle name="Gevolgde hyperlink" xfId="3563" builtinId="9" hidden="1"/>
    <cellStyle name="Gevolgde hyperlink" xfId="3565" builtinId="9" hidden="1"/>
    <cellStyle name="Gevolgde hyperlink" xfId="3567" builtinId="9" hidden="1"/>
    <cellStyle name="Gevolgde hyperlink" xfId="3569" builtinId="9" hidden="1"/>
    <cellStyle name="Gevolgde hyperlink" xfId="3571" builtinId="9" hidden="1"/>
    <cellStyle name="Gevolgde hyperlink" xfId="3573" builtinId="9" hidden="1"/>
    <cellStyle name="Gevolgde hyperlink" xfId="3575" builtinId="9" hidden="1"/>
    <cellStyle name="Gevolgde hyperlink" xfId="3577" builtinId="9" hidden="1"/>
    <cellStyle name="Gevolgde hyperlink" xfId="3579" builtinId="9" hidden="1"/>
    <cellStyle name="Gevolgde hyperlink" xfId="3581" builtinId="9" hidden="1"/>
    <cellStyle name="Gevolgde hyperlink" xfId="3583" builtinId="9" hidden="1"/>
    <cellStyle name="Gevolgde hyperlink" xfId="3585" builtinId="9" hidden="1"/>
    <cellStyle name="Gevolgde hyperlink" xfId="3587" builtinId="9" hidden="1"/>
    <cellStyle name="Gevolgde hyperlink" xfId="3589" builtinId="9" hidden="1"/>
    <cellStyle name="Gevolgde hyperlink" xfId="3591" builtinId="9" hidden="1"/>
    <cellStyle name="Gevolgde hyperlink" xfId="3593" builtinId="9" hidden="1"/>
    <cellStyle name="Gevolgde hyperlink" xfId="3595" builtinId="9" hidden="1"/>
    <cellStyle name="Gevolgde hyperlink" xfId="3597" builtinId="9" hidden="1"/>
    <cellStyle name="Gevolgde hyperlink" xfId="3599" builtinId="9" hidden="1"/>
    <cellStyle name="Gevolgde hyperlink" xfId="3601" builtinId="9" hidden="1"/>
    <cellStyle name="Gevolgde hyperlink" xfId="3603" builtinId="9" hidden="1"/>
    <cellStyle name="Gevolgde hyperlink" xfId="3605" builtinId="9" hidden="1"/>
    <cellStyle name="Gevolgde hyperlink" xfId="3607" builtinId="9" hidden="1"/>
    <cellStyle name="Gevolgde hyperlink" xfId="3609" builtinId="9" hidden="1"/>
    <cellStyle name="Gevolgde hyperlink" xfId="3611" builtinId="9" hidden="1"/>
    <cellStyle name="Gevolgde hyperlink" xfId="3613" builtinId="9" hidden="1"/>
    <cellStyle name="Gevolgde hyperlink" xfId="3615" builtinId="9" hidden="1"/>
    <cellStyle name="Gevolgde hyperlink" xfId="3617" builtinId="9" hidden="1"/>
    <cellStyle name="Gevolgde hyperlink" xfId="3619" builtinId="9" hidden="1"/>
    <cellStyle name="Gevolgde hyperlink" xfId="3621" builtinId="9" hidden="1"/>
    <cellStyle name="Gevolgde hyperlink" xfId="3623" builtinId="9" hidden="1"/>
    <cellStyle name="Gevolgde hyperlink" xfId="3625" builtinId="9" hidden="1"/>
    <cellStyle name="Gevolgde hyperlink" xfId="3627" builtinId="9" hidden="1"/>
    <cellStyle name="Gevolgde hyperlink" xfId="3629" builtinId="9" hidden="1"/>
    <cellStyle name="Gevolgde hyperlink" xfId="3631" builtinId="9" hidden="1"/>
    <cellStyle name="Gevolgde hyperlink" xfId="3633" builtinId="9" hidden="1"/>
    <cellStyle name="Gevolgde hyperlink" xfId="3635" builtinId="9" hidden="1"/>
    <cellStyle name="Gevolgde hyperlink" xfId="3637" builtinId="9" hidden="1"/>
    <cellStyle name="Gevolgde hyperlink" xfId="3639" builtinId="9" hidden="1"/>
    <cellStyle name="Gevolgde hyperlink" xfId="3641" builtinId="9" hidden="1"/>
    <cellStyle name="Gevolgde hyperlink" xfId="3643" builtinId="9" hidden="1"/>
    <cellStyle name="Gevolgde hyperlink" xfId="3645" builtinId="9" hidden="1"/>
    <cellStyle name="Gevolgde hyperlink" xfId="3647" builtinId="9" hidden="1"/>
    <cellStyle name="Gevolgde hyperlink" xfId="3649" builtinId="9" hidden="1"/>
    <cellStyle name="Gevolgde hyperlink" xfId="3651" builtinId="9" hidden="1"/>
    <cellStyle name="Gevolgde hyperlink" xfId="3653" builtinId="9" hidden="1"/>
    <cellStyle name="Gevolgde hyperlink" xfId="3655" builtinId="9" hidden="1"/>
    <cellStyle name="Gevolgde hyperlink" xfId="3657" builtinId="9" hidden="1"/>
    <cellStyle name="Gevolgde hyperlink" xfId="3659" builtinId="9" hidden="1"/>
    <cellStyle name="Gevolgde hyperlink" xfId="3661" builtinId="9" hidden="1"/>
    <cellStyle name="Gevolgde hyperlink" xfId="3663" builtinId="9" hidden="1"/>
    <cellStyle name="Gevolgde hyperlink" xfId="3665" builtinId="9" hidden="1"/>
    <cellStyle name="Gevolgde hyperlink" xfId="3667" builtinId="9" hidden="1"/>
    <cellStyle name="Gevolgde hyperlink" xfId="3669" builtinId="9" hidden="1"/>
    <cellStyle name="Gevolgde hyperlink" xfId="3671" builtinId="9" hidden="1"/>
    <cellStyle name="Gevolgde hyperlink" xfId="3673" builtinId="9" hidden="1"/>
    <cellStyle name="Gevolgde hyperlink" xfId="3675" builtinId="9" hidden="1"/>
    <cellStyle name="Gevolgde hyperlink" xfId="3677" builtinId="9" hidden="1"/>
    <cellStyle name="Gevolgde hyperlink" xfId="3679" builtinId="9" hidden="1"/>
    <cellStyle name="Gevolgde hyperlink" xfId="3681" builtinId="9" hidden="1"/>
    <cellStyle name="Gevolgde hyperlink" xfId="3683" builtinId="9" hidden="1"/>
    <cellStyle name="Gevolgde hyperlink" xfId="3685" builtinId="9" hidden="1"/>
    <cellStyle name="Gevolgde hyperlink" xfId="3687" builtinId="9" hidden="1"/>
    <cellStyle name="Gevolgde hyperlink" xfId="3689" builtinId="9" hidden="1"/>
    <cellStyle name="Gevolgde hyperlink" xfId="3691" builtinId="9" hidden="1"/>
    <cellStyle name="Gevolgde hyperlink" xfId="3693" builtinId="9" hidden="1"/>
    <cellStyle name="Gevolgde hyperlink" xfId="3695" builtinId="9" hidden="1"/>
    <cellStyle name="Gevolgde hyperlink" xfId="3697" builtinId="9" hidden="1"/>
    <cellStyle name="Gevolgde hyperlink" xfId="3699" builtinId="9" hidden="1"/>
    <cellStyle name="Gevolgde hyperlink" xfId="3701" builtinId="9" hidden="1"/>
    <cellStyle name="Gevolgde hyperlink" xfId="3703" builtinId="9" hidden="1"/>
    <cellStyle name="Gevolgde hyperlink" xfId="3705" builtinId="9" hidden="1"/>
    <cellStyle name="Gevolgde hyperlink" xfId="3707" builtinId="9" hidden="1"/>
    <cellStyle name="Gevolgde hyperlink" xfId="3709" builtinId="9" hidden="1"/>
    <cellStyle name="Gevolgde hyperlink" xfId="3711" builtinId="9" hidden="1"/>
    <cellStyle name="Gevolgde hyperlink" xfId="3713" builtinId="9" hidden="1"/>
    <cellStyle name="Gevolgde hyperlink" xfId="3715" builtinId="9" hidden="1"/>
    <cellStyle name="Gevolgde hyperlink" xfId="3717" builtinId="9" hidden="1"/>
    <cellStyle name="Gevolgde hyperlink" xfId="3719" builtinId="9" hidden="1"/>
    <cellStyle name="Gevolgde hyperlink" xfId="3721" builtinId="9" hidden="1"/>
    <cellStyle name="Gevolgde hyperlink" xfId="3723" builtinId="9" hidden="1"/>
    <cellStyle name="Gevolgde hyperlink" xfId="3725" builtinId="9" hidden="1"/>
    <cellStyle name="Gevolgde hyperlink" xfId="3727" builtinId="9" hidden="1"/>
    <cellStyle name="Gevolgde hyperlink" xfId="3729" builtinId="9" hidden="1"/>
    <cellStyle name="Gevolgde hyperlink" xfId="3731" builtinId="9" hidden="1"/>
    <cellStyle name="Gevolgde hyperlink" xfId="3733" builtinId="9" hidden="1"/>
    <cellStyle name="Gevolgde hyperlink" xfId="3735" builtinId="9" hidden="1"/>
    <cellStyle name="Gevolgde hyperlink" xfId="3737" builtinId="9" hidden="1"/>
    <cellStyle name="Gevolgde hyperlink" xfId="3739" builtinId="9" hidden="1"/>
    <cellStyle name="Gevolgde hyperlink" xfId="3741" builtinId="9" hidden="1"/>
    <cellStyle name="Gevolgde hyperlink" xfId="3743" builtinId="9" hidden="1"/>
    <cellStyle name="Gevolgde hyperlink" xfId="3745" builtinId="9" hidden="1"/>
    <cellStyle name="Gevolgde hyperlink" xfId="3747" builtinId="9" hidden="1"/>
    <cellStyle name="Gevolgde hyperlink" xfId="3749" builtinId="9" hidden="1"/>
    <cellStyle name="Gevolgde hyperlink" xfId="3751" builtinId="9" hidden="1"/>
    <cellStyle name="Gevolgde hyperlink" xfId="3753" builtinId="9" hidden="1"/>
    <cellStyle name="Gevolgde hyperlink" xfId="3755" builtinId="9" hidden="1"/>
    <cellStyle name="Gevolgde hyperlink" xfId="3757" builtinId="9" hidden="1"/>
    <cellStyle name="Gevolgde hyperlink" xfId="3759" builtinId="9" hidden="1"/>
    <cellStyle name="Gevolgde hyperlink" xfId="3761" builtinId="9" hidden="1"/>
    <cellStyle name="Gevolgde hyperlink" xfId="3763" builtinId="9" hidden="1"/>
    <cellStyle name="Gevolgde hyperlink" xfId="3765" builtinId="9" hidden="1"/>
    <cellStyle name="Gevolgde hyperlink" xfId="3767" builtinId="9" hidden="1"/>
    <cellStyle name="Gevolgde hyperlink" xfId="3769" builtinId="9" hidden="1"/>
    <cellStyle name="Gevolgde hyperlink" xfId="3771" builtinId="9" hidden="1"/>
    <cellStyle name="Gevolgde hyperlink" xfId="3773" builtinId="9" hidden="1"/>
    <cellStyle name="Gevolgde hyperlink" xfId="3775" builtinId="9" hidden="1"/>
    <cellStyle name="Gevolgde hyperlink" xfId="3777" builtinId="9" hidden="1"/>
    <cellStyle name="Gevolgde hyperlink" xfId="3779" builtinId="9" hidden="1"/>
    <cellStyle name="Gevolgde hyperlink" xfId="3781" builtinId="9" hidden="1"/>
    <cellStyle name="Gevolgde hyperlink" xfId="3783" builtinId="9" hidden="1"/>
    <cellStyle name="Gevolgde hyperlink" xfId="3785" builtinId="9" hidden="1"/>
    <cellStyle name="Gevolgde hyperlink" xfId="3787" builtinId="9" hidden="1"/>
    <cellStyle name="Gevolgde hyperlink" xfId="3789" builtinId="9" hidden="1"/>
    <cellStyle name="Gevolgde hyperlink" xfId="3791" builtinId="9" hidden="1"/>
    <cellStyle name="Gevolgde hyperlink" xfId="3793" builtinId="9" hidden="1"/>
    <cellStyle name="Gevolgde hyperlink" xfId="3795" builtinId="9" hidden="1"/>
    <cellStyle name="Gevolgde hyperlink" xfId="3797" builtinId="9" hidden="1"/>
    <cellStyle name="Gevolgde hyperlink" xfId="3799" builtinId="9" hidden="1"/>
    <cellStyle name="Gevolgde hyperlink" xfId="3801" builtinId="9" hidden="1"/>
    <cellStyle name="Gevolgde hyperlink" xfId="3803" builtinId="9" hidden="1"/>
    <cellStyle name="Gevolgde hyperlink" xfId="3805" builtinId="9" hidden="1"/>
    <cellStyle name="Gevolgde hyperlink" xfId="3807" builtinId="9" hidden="1"/>
    <cellStyle name="Gevolgde hyperlink" xfId="3809" builtinId="9" hidden="1"/>
    <cellStyle name="Gevolgde hyperlink" xfId="3811" builtinId="9" hidden="1"/>
    <cellStyle name="Gevolgde hyperlink" xfId="3813" builtinId="9" hidden="1"/>
    <cellStyle name="Gevolgde hyperlink" xfId="3815" builtinId="9" hidden="1"/>
    <cellStyle name="Gevolgde hyperlink" xfId="3817" builtinId="9" hidden="1"/>
    <cellStyle name="Gevolgde hyperlink" xfId="3819" builtinId="9" hidden="1"/>
    <cellStyle name="Gevolgde hyperlink" xfId="3821" builtinId="9" hidden="1"/>
    <cellStyle name="Gevolgde hyperlink" xfId="3823" builtinId="9" hidden="1"/>
    <cellStyle name="Gevolgde hyperlink" xfId="3825" builtinId="9" hidden="1"/>
    <cellStyle name="Gevolgde hyperlink" xfId="3827" builtinId="9" hidden="1"/>
    <cellStyle name="Gevolgde hyperlink" xfId="3829" builtinId="9" hidden="1"/>
    <cellStyle name="Gevolgde hyperlink" xfId="3831" builtinId="9" hidden="1"/>
    <cellStyle name="Gevolgde hyperlink" xfId="3833" builtinId="9" hidden="1"/>
    <cellStyle name="Gevolgde hyperlink" xfId="3835" builtinId="9" hidden="1"/>
    <cellStyle name="Gevolgde hyperlink" xfId="3837" builtinId="9" hidden="1"/>
    <cellStyle name="Gevolgde hyperlink" xfId="3839" builtinId="9" hidden="1"/>
    <cellStyle name="Gevolgde hyperlink" xfId="3841" builtinId="9" hidden="1"/>
    <cellStyle name="Gevolgde hyperlink" xfId="3843" builtinId="9" hidden="1"/>
    <cellStyle name="Gevolgde hyperlink" xfId="3845" builtinId="9" hidden="1"/>
    <cellStyle name="Gevolgde hyperlink" xfId="3847" builtinId="9" hidden="1"/>
    <cellStyle name="Gevolgde hyperlink" xfId="3849" builtinId="9" hidden="1"/>
    <cellStyle name="Gevolgde hyperlink" xfId="3851" builtinId="9" hidden="1"/>
    <cellStyle name="Gevolgde hyperlink" xfId="3853" builtinId="9" hidden="1"/>
    <cellStyle name="Gevolgde hyperlink" xfId="3855" builtinId="9" hidden="1"/>
    <cellStyle name="Gevolgde hyperlink" xfId="3857" builtinId="9" hidden="1"/>
    <cellStyle name="Gevolgde hyperlink" xfId="3859" builtinId="9" hidden="1"/>
    <cellStyle name="Gevolgde hyperlink" xfId="3861" builtinId="9" hidden="1"/>
    <cellStyle name="Gevolgde hyperlink" xfId="3863" builtinId="9" hidden="1"/>
    <cellStyle name="Gevolgde hyperlink" xfId="3865" builtinId="9" hidden="1"/>
    <cellStyle name="Gevolgde hyperlink" xfId="3867" builtinId="9" hidden="1"/>
    <cellStyle name="Gevolgde hyperlink" xfId="3869" builtinId="9" hidden="1"/>
    <cellStyle name="Gevolgde hyperlink" xfId="3871" builtinId="9" hidden="1"/>
    <cellStyle name="Gevolgde hyperlink" xfId="3873" builtinId="9" hidden="1"/>
    <cellStyle name="Gevolgde hyperlink" xfId="3875" builtinId="9" hidden="1"/>
    <cellStyle name="Gevolgde hyperlink" xfId="3877" builtinId="9" hidden="1"/>
    <cellStyle name="Gevolgde hyperlink" xfId="3879" builtinId="9" hidden="1"/>
    <cellStyle name="Gevolgde hyperlink" xfId="3881" builtinId="9" hidden="1"/>
    <cellStyle name="Gevolgde hyperlink" xfId="3883" builtinId="9" hidden="1"/>
    <cellStyle name="Gevolgde hyperlink" xfId="3885" builtinId="9" hidden="1"/>
    <cellStyle name="Gevolgde hyperlink" xfId="3887" builtinId="9" hidden="1"/>
    <cellStyle name="Gevolgde hyperlink" xfId="3889" builtinId="9" hidden="1"/>
    <cellStyle name="Gevolgde hyperlink" xfId="3891" builtinId="9" hidden="1"/>
    <cellStyle name="Gevolgde hyperlink" xfId="3893" builtinId="9" hidden="1"/>
    <cellStyle name="Gevolgde hyperlink" xfId="3895" builtinId="9" hidden="1"/>
    <cellStyle name="Gevolgde hyperlink" xfId="3897" builtinId="9" hidden="1"/>
    <cellStyle name="Gevolgde hyperlink" xfId="3899" builtinId="9" hidden="1"/>
    <cellStyle name="Gevolgde hyperlink" xfId="3901" builtinId="9" hidden="1"/>
    <cellStyle name="Gevolgde hyperlink" xfId="3903" builtinId="9" hidden="1"/>
    <cellStyle name="Gevolgde hyperlink" xfId="3905" builtinId="9" hidden="1"/>
    <cellStyle name="Gevolgde hyperlink" xfId="3907" builtinId="9" hidden="1"/>
    <cellStyle name="Gevolgde hyperlink" xfId="3909" builtinId="9" hidden="1"/>
    <cellStyle name="Gevolgde hyperlink" xfId="3911" builtinId="9" hidden="1"/>
    <cellStyle name="Gevolgde hyperlink" xfId="3913" builtinId="9" hidden="1"/>
    <cellStyle name="Gevolgde hyperlink" xfId="3915" builtinId="9" hidden="1"/>
    <cellStyle name="Gevolgde hyperlink" xfId="3917" builtinId="9" hidden="1"/>
    <cellStyle name="Gevolgde hyperlink" xfId="3919" builtinId="9" hidden="1"/>
    <cellStyle name="Gevolgde hyperlink" xfId="3921" builtinId="9" hidden="1"/>
    <cellStyle name="Gevolgde hyperlink" xfId="3923" builtinId="9" hidden="1"/>
    <cellStyle name="Gevolgde hyperlink" xfId="3925" builtinId="9" hidden="1"/>
    <cellStyle name="Gevolgde hyperlink" xfId="3927" builtinId="9" hidden="1"/>
    <cellStyle name="Gevolgde hyperlink" xfId="3929" builtinId="9" hidden="1"/>
    <cellStyle name="Gevolgde hyperlink" xfId="3931" builtinId="9" hidden="1"/>
    <cellStyle name="Gevolgde hyperlink" xfId="3933" builtinId="9" hidden="1"/>
    <cellStyle name="Gevolgde hyperlink" xfId="3935" builtinId="9" hidden="1"/>
    <cellStyle name="Gevolgde hyperlink" xfId="3937" builtinId="9" hidden="1"/>
    <cellStyle name="Gevolgde hyperlink" xfId="3939" builtinId="9" hidden="1"/>
    <cellStyle name="Gevolgde hyperlink" xfId="3941" builtinId="9" hidden="1"/>
    <cellStyle name="Gevolgde hyperlink" xfId="3943" builtinId="9" hidden="1"/>
    <cellStyle name="Gevolgde hyperlink" xfId="3945" builtinId="9" hidden="1"/>
    <cellStyle name="Gevolgde hyperlink" xfId="3947" builtinId="9" hidden="1"/>
    <cellStyle name="Gevolgde hyperlink" xfId="3949" builtinId="9" hidden="1"/>
    <cellStyle name="Gevolgde hyperlink" xfId="3951" builtinId="9" hidden="1"/>
    <cellStyle name="Gevolgde hyperlink" xfId="3953" builtinId="9" hidden="1"/>
    <cellStyle name="Gevolgde hyperlink" xfId="3955" builtinId="9" hidden="1"/>
    <cellStyle name="Gevolgde hyperlink" xfId="3957" builtinId="9" hidden="1"/>
    <cellStyle name="Gevolgde hyperlink" xfId="3959" builtinId="9" hidden="1"/>
    <cellStyle name="Gevolgde hyperlink" xfId="3961" builtinId="9" hidden="1"/>
    <cellStyle name="Gevolgde hyperlink" xfId="3963" builtinId="9" hidden="1"/>
    <cellStyle name="Gevolgde hyperlink" xfId="3965" builtinId="9" hidden="1"/>
    <cellStyle name="Gevolgde hyperlink" xfId="3967" builtinId="9" hidden="1"/>
    <cellStyle name="Gevolgde hyperlink" xfId="3969" builtinId="9" hidden="1"/>
    <cellStyle name="Gevolgde hyperlink" xfId="3971" builtinId="9" hidden="1"/>
    <cellStyle name="Gevolgde hyperlink" xfId="3973" builtinId="9" hidden="1"/>
    <cellStyle name="Gevolgde hyperlink" xfId="3975" builtinId="9" hidden="1"/>
    <cellStyle name="Gevolgde hyperlink" xfId="3977" builtinId="9" hidden="1"/>
    <cellStyle name="Gevolgde hyperlink" xfId="3979" builtinId="9" hidden="1"/>
    <cellStyle name="Gevolgde hyperlink" xfId="3981" builtinId="9" hidden="1"/>
    <cellStyle name="Gevolgde hyperlink" xfId="3983" builtinId="9" hidden="1"/>
    <cellStyle name="Gevolgde hyperlink" xfId="3985" builtinId="9" hidden="1"/>
    <cellStyle name="Gevolgde hyperlink" xfId="3987" builtinId="9" hidden="1"/>
    <cellStyle name="Gevolgde hyperlink" xfId="3989" builtinId="9" hidden="1"/>
    <cellStyle name="Gevolgde hyperlink" xfId="3991" builtinId="9" hidden="1"/>
    <cellStyle name="Gevolgde hyperlink" xfId="3993" builtinId="9" hidden="1"/>
    <cellStyle name="Gevolgde hyperlink" xfId="3995" builtinId="9" hidden="1"/>
    <cellStyle name="Gevolgde hyperlink" xfId="3997" builtinId="9" hidden="1"/>
    <cellStyle name="Gevolgde hyperlink" xfId="3999" builtinId="9" hidden="1"/>
    <cellStyle name="Gevolgde hyperlink" xfId="4001" builtinId="9" hidden="1"/>
    <cellStyle name="Gevolgde hyperlink" xfId="4003" builtinId="9" hidden="1"/>
    <cellStyle name="Gevolgde hyperlink" xfId="4005" builtinId="9" hidden="1"/>
    <cellStyle name="Gevolgde hyperlink" xfId="4007" builtinId="9" hidden="1"/>
    <cellStyle name="Gevolgde hyperlink" xfId="4009" builtinId="9" hidden="1"/>
    <cellStyle name="Gevolgde hyperlink" xfId="4011" builtinId="9" hidden="1"/>
    <cellStyle name="Gevolgde hyperlink" xfId="4013" builtinId="9" hidden="1"/>
    <cellStyle name="Gevolgde hyperlink" xfId="4015" builtinId="9" hidden="1"/>
    <cellStyle name="Gevolgde hyperlink" xfId="4017" builtinId="9" hidden="1"/>
    <cellStyle name="Gevolgde hyperlink" xfId="4019" builtinId="9" hidden="1"/>
    <cellStyle name="Gevolgde hyperlink" xfId="4021" builtinId="9" hidden="1"/>
    <cellStyle name="Gevolgde hyperlink" xfId="4023" builtinId="9" hidden="1"/>
    <cellStyle name="Gevolgde hyperlink" xfId="4025" builtinId="9" hidden="1"/>
    <cellStyle name="Gevolgde hyperlink" xfId="4027" builtinId="9" hidden="1"/>
    <cellStyle name="Gevolgde hyperlink" xfId="4029" builtinId="9" hidden="1"/>
    <cellStyle name="Gevolgde hyperlink" xfId="4031" builtinId="9" hidden="1"/>
    <cellStyle name="Gevolgde hyperlink" xfId="4033" builtinId="9" hidden="1"/>
    <cellStyle name="Gevolgde hyperlink" xfId="4035" builtinId="9" hidden="1"/>
    <cellStyle name="Gevolgde hyperlink" xfId="4037" builtinId="9" hidden="1"/>
    <cellStyle name="Gevolgde hyperlink" xfId="4039" builtinId="9" hidden="1"/>
    <cellStyle name="Gevolgde hyperlink" xfId="4041" builtinId="9" hidden="1"/>
    <cellStyle name="Gevolgde hyperlink" xfId="4043" builtinId="9" hidden="1"/>
    <cellStyle name="Gevolgde hyperlink" xfId="4045" builtinId="9" hidden="1"/>
    <cellStyle name="Gevolgde hyperlink" xfId="4047" builtinId="9" hidden="1"/>
    <cellStyle name="Gevolgde hyperlink" xfId="4049" builtinId="9" hidden="1"/>
    <cellStyle name="Gevolgde hyperlink" xfId="4051" builtinId="9" hidden="1"/>
    <cellStyle name="Gevolgde hyperlink" xfId="4053" builtinId="9" hidden="1"/>
    <cellStyle name="Gevolgde hyperlink" xfId="4055" builtinId="9" hidden="1"/>
    <cellStyle name="Gevolgde hyperlink" xfId="4057" builtinId="9" hidden="1"/>
    <cellStyle name="Gevolgde hyperlink" xfId="4059" builtinId="9" hidden="1"/>
    <cellStyle name="Gevolgde hyperlink" xfId="4061" builtinId="9" hidden="1"/>
    <cellStyle name="Gevolgde hyperlink" xfId="4063" builtinId="9" hidden="1"/>
    <cellStyle name="Gevolgde hyperlink" xfId="4065" builtinId="9" hidden="1"/>
    <cellStyle name="Gevolgde hyperlink" xfId="4067" builtinId="9" hidden="1"/>
    <cellStyle name="Gevolgde hyperlink" xfId="4069" builtinId="9" hidden="1"/>
    <cellStyle name="Gevolgde hyperlink" xfId="4071" builtinId="9" hidden="1"/>
    <cellStyle name="Gevolgde hyperlink" xfId="4073" builtinId="9" hidden="1"/>
    <cellStyle name="Gevolgde hyperlink" xfId="4075" builtinId="9" hidden="1"/>
    <cellStyle name="Gevolgde hyperlink" xfId="4077" builtinId="9" hidden="1"/>
    <cellStyle name="Gevolgde hyperlink" xfId="4079" builtinId="9" hidden="1"/>
    <cellStyle name="Gevolgde hyperlink" xfId="4081" builtinId="9" hidden="1"/>
    <cellStyle name="Gevolgde hyperlink" xfId="4083" builtinId="9" hidden="1"/>
    <cellStyle name="Gevolgde hyperlink" xfId="4085" builtinId="9" hidden="1"/>
    <cellStyle name="Gevolgde hyperlink" xfId="4087" builtinId="9" hidden="1"/>
    <cellStyle name="Gevolgde hyperlink" xfId="4089" builtinId="9" hidden="1"/>
    <cellStyle name="Gevolgde hyperlink" xfId="4091" builtinId="9" hidden="1"/>
    <cellStyle name="Gevolgde hyperlink" xfId="4093" builtinId="9" hidden="1"/>
    <cellStyle name="Gevolgde hyperlink" xfId="4095" builtinId="9" hidden="1"/>
    <cellStyle name="Gevolgde hyperlink" xfId="4097" builtinId="9" hidden="1"/>
    <cellStyle name="Gevolgde hyperlink" xfId="4099" builtinId="9" hidden="1"/>
    <cellStyle name="Gevolgde hyperlink" xfId="4101" builtinId="9" hidden="1"/>
    <cellStyle name="Gevolgde hyperlink" xfId="4103" builtinId="9" hidden="1"/>
    <cellStyle name="Gevolgde hyperlink" xfId="4105" builtinId="9" hidden="1"/>
    <cellStyle name="Gevolgde hyperlink" xfId="4107" builtinId="9" hidden="1"/>
    <cellStyle name="Gevolgde hyperlink" xfId="4109" builtinId="9" hidden="1"/>
    <cellStyle name="Gevolgde hyperlink" xfId="4111" builtinId="9" hidden="1"/>
    <cellStyle name="Gevolgde hyperlink" xfId="4113" builtinId="9" hidden="1"/>
    <cellStyle name="Gevolgde hyperlink" xfId="4115" builtinId="9" hidden="1"/>
    <cellStyle name="Gevolgde hyperlink" xfId="4117" builtinId="9" hidden="1"/>
    <cellStyle name="Gevolgde hyperlink" xfId="4119" builtinId="9" hidden="1"/>
    <cellStyle name="Gevolgde hyperlink" xfId="4121" builtinId="9" hidden="1"/>
    <cellStyle name="Gevolgde hyperlink" xfId="4123" builtinId="9" hidden="1"/>
    <cellStyle name="Gevolgde hyperlink" xfId="4125" builtinId="9" hidden="1"/>
    <cellStyle name="Gevolgde hyperlink" xfId="4127" builtinId="9" hidden="1"/>
    <cellStyle name="Gevolgde hyperlink" xfId="4129" builtinId="9" hidden="1"/>
    <cellStyle name="Gevolgde hyperlink" xfId="4131" builtinId="9" hidden="1"/>
    <cellStyle name="Gevolgde hyperlink" xfId="4133" builtinId="9" hidden="1"/>
    <cellStyle name="Gevolgde hyperlink" xfId="4135" builtinId="9" hidden="1"/>
    <cellStyle name="Gevolgde hyperlink" xfId="4137" builtinId="9" hidden="1"/>
    <cellStyle name="Gevolgde hyperlink" xfId="4139" builtinId="9" hidden="1"/>
    <cellStyle name="Gevolgde hyperlink" xfId="4141" builtinId="9" hidden="1"/>
    <cellStyle name="Gevolgde hyperlink" xfId="4143" builtinId="9" hidden="1"/>
    <cellStyle name="Gevolgde hyperlink" xfId="4145" builtinId="9" hidden="1"/>
    <cellStyle name="Gevolgde hyperlink" xfId="4147" builtinId="9" hidden="1"/>
    <cellStyle name="Gevolgde hyperlink" xfId="4149" builtinId="9" hidden="1"/>
    <cellStyle name="Gevolgde hyperlink" xfId="4151" builtinId="9" hidden="1"/>
    <cellStyle name="Gevolgde hyperlink" xfId="4153" builtinId="9" hidden="1"/>
    <cellStyle name="Gevolgde hyperlink" xfId="4155" builtinId="9" hidden="1"/>
    <cellStyle name="Gevolgde hyperlink" xfId="4157" builtinId="9" hidden="1"/>
    <cellStyle name="Gevolgde hyperlink" xfId="4159" builtinId="9" hidden="1"/>
    <cellStyle name="Gevolgde hyperlink" xfId="4161" builtinId="9" hidden="1"/>
    <cellStyle name="Gevolgde hyperlink" xfId="4163" builtinId="9" hidden="1"/>
    <cellStyle name="Gevolgde hyperlink" xfId="4165" builtinId="9" hidden="1"/>
    <cellStyle name="Gevolgde hyperlink" xfId="4167" builtinId="9" hidden="1"/>
    <cellStyle name="Gevolgde hyperlink" xfId="4169" builtinId="9" hidden="1"/>
    <cellStyle name="Gevolgde hyperlink" xfId="4171" builtinId="9" hidden="1"/>
    <cellStyle name="Gevolgde hyperlink" xfId="4173" builtinId="9" hidden="1"/>
    <cellStyle name="Gevolgde hyperlink" xfId="4175" builtinId="9" hidden="1"/>
    <cellStyle name="Gevolgde hyperlink" xfId="4177" builtinId="9" hidden="1"/>
    <cellStyle name="Gevolgde hyperlink" xfId="4179" builtinId="9" hidden="1"/>
    <cellStyle name="Gevolgde hyperlink" xfId="4181" builtinId="9" hidden="1"/>
    <cellStyle name="Gevolgde hyperlink" xfId="4183" builtinId="9" hidden="1"/>
    <cellStyle name="Gevolgde hyperlink" xfId="4185" builtinId="9" hidden="1"/>
    <cellStyle name="Gevolgde hyperlink" xfId="4187" builtinId="9" hidden="1"/>
    <cellStyle name="Gevolgde hyperlink" xfId="4189" builtinId="9" hidden="1"/>
    <cellStyle name="Gevolgde hyperlink" xfId="4191" builtinId="9" hidden="1"/>
    <cellStyle name="Gevolgde hyperlink" xfId="4193" builtinId="9" hidden="1"/>
    <cellStyle name="Gevolgde hyperlink" xfId="4195" builtinId="9" hidden="1"/>
    <cellStyle name="Gevolgde hyperlink" xfId="4197" builtinId="9" hidden="1"/>
    <cellStyle name="Gevolgde hyperlink" xfId="4199" builtinId="9" hidden="1"/>
    <cellStyle name="Gevolgde hyperlink" xfId="4201" builtinId="9" hidden="1"/>
    <cellStyle name="Gevolgde hyperlink" xfId="4203" builtinId="9" hidden="1"/>
    <cellStyle name="Gevolgde hyperlink" xfId="4205" builtinId="9" hidden="1"/>
    <cellStyle name="Gevolgde hyperlink" xfId="4207" builtinId="9" hidden="1"/>
    <cellStyle name="Gevolgde hyperlink" xfId="4209" builtinId="9" hidden="1"/>
    <cellStyle name="Gevolgde hyperlink" xfId="4211" builtinId="9" hidden="1"/>
    <cellStyle name="Gevolgde hyperlink" xfId="4213" builtinId="9" hidden="1"/>
    <cellStyle name="Gevolgde hyperlink" xfId="4215" builtinId="9" hidden="1"/>
    <cellStyle name="Gevolgde hyperlink" xfId="4217" builtinId="9" hidden="1"/>
    <cellStyle name="Gevolgde hyperlink" xfId="4219" builtinId="9" hidden="1"/>
    <cellStyle name="Gevolgde hyperlink" xfId="4221" builtinId="9" hidden="1"/>
    <cellStyle name="Gevolgde hyperlink" xfId="4223" builtinId="9" hidden="1"/>
    <cellStyle name="Gevolgde hyperlink" xfId="4225" builtinId="9" hidden="1"/>
    <cellStyle name="Gevolgde hyperlink" xfId="4227" builtinId="9" hidden="1"/>
    <cellStyle name="Gevolgde hyperlink" xfId="4229" builtinId="9" hidden="1"/>
    <cellStyle name="Gevolgde hyperlink" xfId="4231" builtinId="9" hidden="1"/>
    <cellStyle name="Gevolgde hyperlink" xfId="4233" builtinId="9" hidden="1"/>
    <cellStyle name="Gevolgde hyperlink" xfId="4235" builtinId="9" hidden="1"/>
    <cellStyle name="Gevolgde hyperlink" xfId="4237" builtinId="9" hidden="1"/>
    <cellStyle name="Gevolgde hyperlink" xfId="4239" builtinId="9" hidden="1"/>
    <cellStyle name="Gevolgde hyperlink" xfId="4241" builtinId="9" hidden="1"/>
    <cellStyle name="Gevolgde hyperlink" xfId="4243" builtinId="9" hidden="1"/>
    <cellStyle name="Gevolgde hyperlink" xfId="4245" builtinId="9" hidden="1"/>
    <cellStyle name="Gevolgde hyperlink" xfId="4247" builtinId="9" hidden="1"/>
    <cellStyle name="Gevolgde hyperlink" xfId="4249" builtinId="9" hidden="1"/>
    <cellStyle name="Gevolgde hyperlink" xfId="4251" builtinId="9" hidden="1"/>
    <cellStyle name="Gevolgde hyperlink" xfId="4253" builtinId="9" hidden="1"/>
    <cellStyle name="Gevolgde hyperlink" xfId="4255" builtinId="9" hidden="1"/>
    <cellStyle name="Gevolgde hyperlink" xfId="4257" builtinId="9" hidden="1"/>
    <cellStyle name="Gevolgde hyperlink" xfId="4259" builtinId="9" hidden="1"/>
    <cellStyle name="Gevolgde hyperlink" xfId="4261" builtinId="9" hidden="1"/>
    <cellStyle name="Gevolgde hyperlink" xfId="4263" builtinId="9" hidden="1"/>
    <cellStyle name="Gevolgde hyperlink" xfId="4265" builtinId="9" hidden="1"/>
    <cellStyle name="Gevolgde hyperlink" xfId="4267" builtinId="9" hidden="1"/>
    <cellStyle name="Gevolgde hyperlink" xfId="4269" builtinId="9" hidden="1"/>
    <cellStyle name="Gevolgde hyperlink" xfId="4271" builtinId="9" hidden="1"/>
    <cellStyle name="Gevolgde hyperlink" xfId="4273" builtinId="9" hidden="1"/>
    <cellStyle name="Gevolgde hyperlink" xfId="4275" builtinId="9" hidden="1"/>
    <cellStyle name="Gevolgde hyperlink" xfId="4277" builtinId="9" hidden="1"/>
    <cellStyle name="Gevolgde hyperlink" xfId="4279" builtinId="9" hidden="1"/>
    <cellStyle name="Gevolgde hyperlink" xfId="4281" builtinId="9" hidden="1"/>
    <cellStyle name="Gevolgde hyperlink" xfId="4283" builtinId="9" hidden="1"/>
    <cellStyle name="Gevolgde hyperlink" xfId="4285" builtinId="9" hidden="1"/>
    <cellStyle name="Gevolgde hyperlink" xfId="4287" builtinId="9" hidden="1"/>
    <cellStyle name="Gevolgde hyperlink" xfId="4289" builtinId="9" hidden="1"/>
    <cellStyle name="Gevolgde hyperlink" xfId="4291" builtinId="9" hidden="1"/>
    <cellStyle name="Gevolgde hyperlink" xfId="4293" builtinId="9" hidden="1"/>
    <cellStyle name="Gevolgde hyperlink" xfId="4295" builtinId="9" hidden="1"/>
    <cellStyle name="Gevolgde hyperlink" xfId="4297" builtinId="9" hidden="1"/>
    <cellStyle name="Gevolgde hyperlink" xfId="4299" builtinId="9" hidden="1"/>
    <cellStyle name="Gevolgde hyperlink" xfId="4301" builtinId="9" hidden="1"/>
    <cellStyle name="Gevolgde hyperlink" xfId="4303" builtinId="9" hidden="1"/>
    <cellStyle name="Gevolgde hyperlink" xfId="4305" builtinId="9" hidden="1"/>
    <cellStyle name="Gevolgde hyperlink" xfId="4307" builtinId="9" hidden="1"/>
    <cellStyle name="Gevolgde hyperlink" xfId="4309" builtinId="9" hidden="1"/>
    <cellStyle name="Gevolgde hyperlink" xfId="4311" builtinId="9" hidden="1"/>
    <cellStyle name="Gevolgde hyperlink" xfId="4313" builtinId="9" hidden="1"/>
    <cellStyle name="Gevolgde hyperlink" xfId="4315" builtinId="9" hidden="1"/>
    <cellStyle name="Gevolgde hyperlink" xfId="4317" builtinId="9" hidden="1"/>
    <cellStyle name="Gevolgde hyperlink" xfId="4319" builtinId="9" hidden="1"/>
    <cellStyle name="Gevolgde hyperlink" xfId="4321" builtinId="9" hidden="1"/>
    <cellStyle name="Gevolgde hyperlink" xfId="4323" builtinId="9" hidden="1"/>
    <cellStyle name="Gevolgde hyperlink" xfId="4325" builtinId="9" hidden="1"/>
    <cellStyle name="Gevolgde hyperlink" xfId="4327" builtinId="9" hidden="1"/>
    <cellStyle name="Gevolgde hyperlink" xfId="4329" builtinId="9" hidden="1"/>
    <cellStyle name="Gevolgde hyperlink" xfId="4331" builtinId="9" hidden="1"/>
    <cellStyle name="Gevolgde hyperlink" xfId="4333" builtinId="9" hidden="1"/>
    <cellStyle name="Gevolgde hyperlink" xfId="4335" builtinId="9" hidden="1"/>
    <cellStyle name="Gevolgde hyperlink" xfId="4337" builtinId="9" hidden="1"/>
    <cellStyle name="Gevolgde hyperlink" xfId="4339" builtinId="9" hidden="1"/>
    <cellStyle name="Gevolgde hyperlink" xfId="4341" builtinId="9" hidden="1"/>
    <cellStyle name="Gevolgde hyperlink" xfId="4343" builtinId="9" hidden="1"/>
    <cellStyle name="Gevolgde hyperlink" xfId="4345" builtinId="9" hidden="1"/>
    <cellStyle name="Gevolgde hyperlink" xfId="4347" builtinId="9" hidden="1"/>
    <cellStyle name="Gevolgde hyperlink" xfId="4349" builtinId="9" hidden="1"/>
    <cellStyle name="Gevolgde hyperlink" xfId="4351" builtinId="9" hidden="1"/>
    <cellStyle name="Gevolgde hyperlink" xfId="4353" builtinId="9" hidden="1"/>
    <cellStyle name="Gevolgde hyperlink" xfId="4355" builtinId="9" hidden="1"/>
    <cellStyle name="Gevolgde hyperlink" xfId="4357" builtinId="9" hidden="1"/>
    <cellStyle name="Gevolgde hyperlink" xfId="4359" builtinId="9" hidden="1"/>
    <cellStyle name="Gevolgde hyperlink" xfId="4361" builtinId="9" hidden="1"/>
    <cellStyle name="Gevolgde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Procent" xfId="2169" builtinId="5"/>
    <cellStyle name="Standa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7-4A10-8F11-05F2D10C7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5264"/>
        <c:axId val="96275840"/>
      </c:scatterChart>
      <c:valAx>
        <c:axId val="96275264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5840"/>
        <c:crosses val="autoZero"/>
        <c:crossBetween val="midCat"/>
        <c:majorUnit val="6"/>
      </c:valAx>
      <c:valAx>
        <c:axId val="9627584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5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7-4A75-A42A-5E96111829BA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A75-A42A-5E961118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6992"/>
        <c:axId val="96277568"/>
      </c:scatterChart>
      <c:valAx>
        <c:axId val="9627699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7568"/>
        <c:crosses val="autoZero"/>
        <c:crossBetween val="midCat"/>
        <c:majorUnit val="6"/>
      </c:valAx>
      <c:valAx>
        <c:axId val="96277568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6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nl-NL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89-41EE-A0E8-04F8323D9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9296"/>
        <c:axId val="96279872"/>
      </c:scatterChart>
      <c:valAx>
        <c:axId val="96279296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9872"/>
        <c:crosses val="autoZero"/>
        <c:crossBetween val="midCat"/>
        <c:majorUnit val="3"/>
      </c:valAx>
      <c:valAx>
        <c:axId val="96279872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92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9E-47D1-8DEA-5750AD788794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291.70947683813665</c:v>
                </c:pt>
                <c:pt idx="1">
                  <c:v>297.05387483650361</c:v>
                </c:pt>
                <c:pt idx="2">
                  <c:v>302.39827283487051</c:v>
                </c:pt>
                <c:pt idx="3">
                  <c:v>307.74267083323747</c:v>
                </c:pt>
                <c:pt idx="4">
                  <c:v>313.08706883160443</c:v>
                </c:pt>
                <c:pt idx="5">
                  <c:v>318.43146682997133</c:v>
                </c:pt>
                <c:pt idx="6">
                  <c:v>323.77586482833829</c:v>
                </c:pt>
                <c:pt idx="7">
                  <c:v>329.12026282670524</c:v>
                </c:pt>
                <c:pt idx="8">
                  <c:v>334.4646608250722</c:v>
                </c:pt>
                <c:pt idx="9">
                  <c:v>339.80905882343916</c:v>
                </c:pt>
                <c:pt idx="10">
                  <c:v>345.15345682180606</c:v>
                </c:pt>
                <c:pt idx="11">
                  <c:v>350.49785482017302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9E-47D1-8DEA-5750AD788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41344"/>
        <c:axId val="69641920"/>
      </c:scatterChart>
      <c:valAx>
        <c:axId val="69641344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41920"/>
        <c:crosses val="autoZero"/>
        <c:crossBetween val="midCat"/>
        <c:majorUnit val="6"/>
      </c:valAx>
      <c:valAx>
        <c:axId val="6964192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41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9-41CD-A086-A039623C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3378688"/>
        <c:axId val="69643648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9-41CD-A086-A039623CB514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69-41CD-A086-A039623C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8688"/>
        <c:axId val="69643648"/>
      </c:lineChart>
      <c:catAx>
        <c:axId val="43378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69643648"/>
        <c:crosses val="autoZero"/>
        <c:auto val="1"/>
        <c:lblAlgn val="ctr"/>
        <c:lblOffset val="100"/>
        <c:noMultiLvlLbl val="0"/>
      </c:catAx>
      <c:valAx>
        <c:axId val="69643648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3786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C-4988-B5EC-46C0CBBAD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45376"/>
        <c:axId val="69645952"/>
      </c:scatterChart>
      <c:valAx>
        <c:axId val="69645376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69645952"/>
        <c:crosses val="autoZero"/>
        <c:crossBetween val="midCat"/>
        <c:majorUnit val="6"/>
      </c:valAx>
      <c:valAx>
        <c:axId val="69645952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645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7-4BC8-965C-636693B3CD81}"/>
            </c:ext>
          </c:extLst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27-4BC8-965C-636693B3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38208"/>
        <c:axId val="44541632"/>
      </c:lineChart>
      <c:catAx>
        <c:axId val="4463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41632"/>
        <c:crosses val="autoZero"/>
        <c:auto val="1"/>
        <c:lblAlgn val="ctr"/>
        <c:lblOffset val="100"/>
        <c:noMultiLvlLbl val="0"/>
      </c:catAx>
      <c:valAx>
        <c:axId val="44541632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3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0-4447-BF04-B7D45A242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38720"/>
        <c:axId val="44539904"/>
      </c:barChart>
      <c:catAx>
        <c:axId val="44638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4539904"/>
        <c:crosses val="autoZero"/>
        <c:auto val="1"/>
        <c:lblAlgn val="ctr"/>
        <c:lblOffset val="100"/>
        <c:noMultiLvlLbl val="0"/>
      </c:catAx>
      <c:valAx>
        <c:axId val="44539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6387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72-4054-9331-9E268556913C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72-4054-9331-9E268556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42784"/>
        <c:axId val="44543360"/>
      </c:scatterChart>
      <c:valAx>
        <c:axId val="44542784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3360"/>
        <c:crosses val="autoZero"/>
        <c:crossBetween val="midCat"/>
        <c:majorUnit val="6"/>
      </c:valAx>
      <c:valAx>
        <c:axId val="4454336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2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F-4563-9672-896DA02A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639744"/>
        <c:axId val="44545088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3F-4563-9672-896DA02ACA4A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3F-4563-9672-896DA02A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39744"/>
        <c:axId val="44545088"/>
      </c:lineChart>
      <c:catAx>
        <c:axId val="44639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44545088"/>
        <c:crosses val="autoZero"/>
        <c:auto val="1"/>
        <c:lblAlgn val="ctr"/>
        <c:lblOffset val="100"/>
        <c:noMultiLvlLbl val="0"/>
      </c:catAx>
      <c:valAx>
        <c:axId val="44545088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397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D-4C35-BB1C-DAFB2B28008A}"/>
            </c:ext>
          </c:extLst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D-4C35-BB1C-DAFB2B28008A}"/>
            </c:ext>
          </c:extLst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1D-4C35-BB1C-DAFB2B280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9680"/>
        <c:axId val="44546816"/>
      </c:areaChart>
      <c:catAx>
        <c:axId val="45319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6816"/>
        <c:crosses val="autoZero"/>
        <c:auto val="1"/>
        <c:lblAlgn val="ctr"/>
        <c:lblOffset val="100"/>
        <c:noMultiLvlLbl val="0"/>
      </c:catAx>
      <c:valAx>
        <c:axId val="44546816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9680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nl-NL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622300</xdr:colOff>
      <xdr:row>8</xdr:row>
      <xdr:rowOff>73025</xdr:rowOff>
    </xdr:from>
    <xdr:to>
      <xdr:col>16</xdr:col>
      <xdr:colOff>146050</xdr:colOff>
      <xdr:row>28</xdr:row>
      <xdr:rowOff>15875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42"/>
  <sheetViews>
    <sheetView zoomScale="150" zoomScaleNormal="150" zoomScalePageLayoutView="150" workbookViewId="0">
      <selection activeCell="B6" sqref="B6"/>
    </sheetView>
  </sheetViews>
  <sheetFormatPr defaultColWidth="11" defaultRowHeight="15.75" x14ac:dyDescent="0.25"/>
  <cols>
    <col min="1" max="1" width="6.375" customWidth="1"/>
    <col min="2" max="2" width="12.125" style="13" bestFit="1" customWidth="1"/>
  </cols>
  <sheetData>
    <row r="1" spans="1:2" x14ac:dyDescent="0.25">
      <c r="A1" s="14" t="s">
        <v>1</v>
      </c>
      <c r="B1" s="15" t="s">
        <v>0</v>
      </c>
    </row>
    <row r="2" spans="1:2" s="27" customFormat="1" ht="12" customHeight="1" x14ac:dyDescent="0.25">
      <c r="A2" s="25">
        <v>1</v>
      </c>
      <c r="B2" s="26">
        <v>165</v>
      </c>
    </row>
    <row r="3" spans="1:2" s="27" customFormat="1" ht="12" customHeight="1" x14ac:dyDescent="0.25">
      <c r="A3" s="25">
        <v>2</v>
      </c>
      <c r="B3" s="26">
        <v>171</v>
      </c>
    </row>
    <row r="4" spans="1:2" s="27" customFormat="1" ht="12" customHeight="1" x14ac:dyDescent="0.25">
      <c r="A4" s="25">
        <v>3</v>
      </c>
      <c r="B4" s="26">
        <v>147</v>
      </c>
    </row>
    <row r="5" spans="1:2" s="27" customFormat="1" ht="12" customHeight="1" x14ac:dyDescent="0.25">
      <c r="A5" s="25">
        <v>4</v>
      </c>
      <c r="B5" s="26">
        <v>143</v>
      </c>
    </row>
    <row r="6" spans="1:2" s="27" customFormat="1" ht="12" customHeight="1" x14ac:dyDescent="0.25">
      <c r="A6" s="25">
        <v>5</v>
      </c>
      <c r="B6" s="26">
        <v>164</v>
      </c>
    </row>
    <row r="7" spans="1:2" s="27" customFormat="1" ht="12" customHeight="1" x14ac:dyDescent="0.25">
      <c r="A7" s="25">
        <v>6</v>
      </c>
      <c r="B7" s="26">
        <v>160</v>
      </c>
    </row>
    <row r="8" spans="1:2" s="27" customFormat="1" ht="12" customHeight="1" x14ac:dyDescent="0.25">
      <c r="A8" s="25">
        <v>7</v>
      </c>
      <c r="B8" s="26">
        <v>152</v>
      </c>
    </row>
    <row r="9" spans="1:2" s="27" customFormat="1" ht="12" customHeight="1" x14ac:dyDescent="0.25">
      <c r="A9" s="25">
        <v>8</v>
      </c>
      <c r="B9" s="26">
        <v>150</v>
      </c>
    </row>
    <row r="10" spans="1:2" s="27" customFormat="1" ht="12" customHeight="1" x14ac:dyDescent="0.25">
      <c r="A10" s="25">
        <v>9</v>
      </c>
      <c r="B10" s="26">
        <v>159</v>
      </c>
    </row>
    <row r="11" spans="1:2" s="27" customFormat="1" ht="12" customHeight="1" x14ac:dyDescent="0.25">
      <c r="A11" s="25">
        <v>10</v>
      </c>
      <c r="B11" s="26">
        <v>169</v>
      </c>
    </row>
    <row r="12" spans="1:2" s="27" customFormat="1" ht="12" customHeight="1" x14ac:dyDescent="0.25">
      <c r="A12" s="25">
        <v>11</v>
      </c>
      <c r="B12" s="26">
        <v>173</v>
      </c>
    </row>
    <row r="13" spans="1:2" s="27" customFormat="1" ht="12" customHeight="1" x14ac:dyDescent="0.25">
      <c r="A13" s="25">
        <v>12</v>
      </c>
      <c r="B13" s="26">
        <v>203</v>
      </c>
    </row>
    <row r="14" spans="1:2" s="27" customFormat="1" ht="12" customHeight="1" x14ac:dyDescent="0.25">
      <c r="A14" s="25">
        <v>13</v>
      </c>
      <c r="B14" s="26">
        <v>169</v>
      </c>
    </row>
    <row r="15" spans="1:2" s="27" customFormat="1" ht="12" customHeight="1" x14ac:dyDescent="0.25">
      <c r="A15" s="25">
        <v>14</v>
      </c>
      <c r="B15" s="26">
        <v>166</v>
      </c>
    </row>
    <row r="16" spans="1:2" s="27" customFormat="1" ht="12" customHeight="1" x14ac:dyDescent="0.25">
      <c r="A16" s="25">
        <v>15</v>
      </c>
      <c r="B16" s="26">
        <v>162</v>
      </c>
    </row>
    <row r="17" spans="1:2" s="27" customFormat="1" ht="12" customHeight="1" x14ac:dyDescent="0.25">
      <c r="A17" s="25">
        <v>16</v>
      </c>
      <c r="B17" s="26">
        <v>147</v>
      </c>
    </row>
    <row r="18" spans="1:2" s="27" customFormat="1" ht="12" customHeight="1" x14ac:dyDescent="0.25">
      <c r="A18" s="25">
        <v>17</v>
      </c>
      <c r="B18" s="26">
        <v>188</v>
      </c>
    </row>
    <row r="19" spans="1:2" s="27" customFormat="1" ht="12" customHeight="1" x14ac:dyDescent="0.25">
      <c r="A19" s="25">
        <v>18</v>
      </c>
      <c r="B19" s="26">
        <v>161</v>
      </c>
    </row>
    <row r="20" spans="1:2" s="27" customFormat="1" ht="12" customHeight="1" x14ac:dyDescent="0.25">
      <c r="A20" s="25">
        <v>19</v>
      </c>
      <c r="B20" s="26">
        <v>162</v>
      </c>
    </row>
    <row r="21" spans="1:2" s="27" customFormat="1" ht="12" customHeight="1" x14ac:dyDescent="0.25">
      <c r="A21" s="25">
        <v>20</v>
      </c>
      <c r="B21" s="26">
        <v>169</v>
      </c>
    </row>
    <row r="22" spans="1:2" s="27" customFormat="1" ht="12" customHeight="1" x14ac:dyDescent="0.25">
      <c r="A22" s="25">
        <v>21</v>
      </c>
      <c r="B22" s="26">
        <v>185</v>
      </c>
    </row>
    <row r="23" spans="1:2" s="27" customFormat="1" ht="12" customHeight="1" x14ac:dyDescent="0.25">
      <c r="A23" s="25">
        <v>22</v>
      </c>
      <c r="B23" s="26">
        <v>188</v>
      </c>
    </row>
    <row r="24" spans="1:2" s="27" customFormat="1" ht="12" customHeight="1" x14ac:dyDescent="0.25">
      <c r="A24" s="25">
        <v>23</v>
      </c>
      <c r="B24" s="26">
        <v>200</v>
      </c>
    </row>
    <row r="25" spans="1:2" s="27" customFormat="1" ht="12" customHeight="1" x14ac:dyDescent="0.25">
      <c r="A25" s="25">
        <v>24</v>
      </c>
      <c r="B25" s="26">
        <v>229</v>
      </c>
    </row>
    <row r="26" spans="1:2" s="27" customFormat="1" ht="12" customHeight="1" x14ac:dyDescent="0.25">
      <c r="A26" s="25">
        <v>25</v>
      </c>
      <c r="B26" s="26">
        <v>189</v>
      </c>
    </row>
    <row r="27" spans="1:2" s="27" customFormat="1" ht="12" customHeight="1" x14ac:dyDescent="0.25">
      <c r="A27" s="25">
        <v>26</v>
      </c>
      <c r="B27" s="26">
        <v>218</v>
      </c>
    </row>
    <row r="28" spans="1:2" s="27" customFormat="1" ht="12" customHeight="1" x14ac:dyDescent="0.25">
      <c r="A28" s="25">
        <v>27</v>
      </c>
      <c r="B28" s="26">
        <v>185</v>
      </c>
    </row>
    <row r="29" spans="1:2" s="27" customFormat="1" ht="12" customHeight="1" x14ac:dyDescent="0.25">
      <c r="A29" s="25">
        <v>28</v>
      </c>
      <c r="B29" s="26">
        <v>199</v>
      </c>
    </row>
    <row r="30" spans="1:2" s="27" customFormat="1" ht="12" customHeight="1" x14ac:dyDescent="0.25">
      <c r="A30" s="25">
        <v>29</v>
      </c>
      <c r="B30" s="26">
        <v>210</v>
      </c>
    </row>
    <row r="31" spans="1:2" s="27" customFormat="1" ht="12" customHeight="1" x14ac:dyDescent="0.25">
      <c r="A31" s="25">
        <v>30</v>
      </c>
      <c r="B31" s="26">
        <v>193</v>
      </c>
    </row>
    <row r="32" spans="1:2" s="27" customFormat="1" ht="12" customHeight="1" x14ac:dyDescent="0.25">
      <c r="A32" s="25">
        <v>31</v>
      </c>
      <c r="B32" s="26">
        <v>211</v>
      </c>
    </row>
    <row r="33" spans="1:2" s="27" customFormat="1" ht="12" customHeight="1" x14ac:dyDescent="0.25">
      <c r="A33" s="25">
        <v>32</v>
      </c>
      <c r="B33" s="26">
        <v>208</v>
      </c>
    </row>
    <row r="34" spans="1:2" s="27" customFormat="1" ht="12" customHeight="1" x14ac:dyDescent="0.25">
      <c r="A34" s="25">
        <v>33</v>
      </c>
      <c r="B34" s="26">
        <v>216</v>
      </c>
    </row>
    <row r="35" spans="1:2" s="27" customFormat="1" ht="12" customHeight="1" x14ac:dyDescent="0.25">
      <c r="A35" s="25">
        <v>34</v>
      </c>
      <c r="B35" s="26">
        <v>218</v>
      </c>
    </row>
    <row r="36" spans="1:2" s="27" customFormat="1" ht="12" customHeight="1" x14ac:dyDescent="0.25">
      <c r="A36" s="25">
        <v>35</v>
      </c>
      <c r="B36" s="26">
        <v>264</v>
      </c>
    </row>
    <row r="37" spans="1:2" s="27" customFormat="1" ht="12" customHeight="1" x14ac:dyDescent="0.25">
      <c r="A37" s="28">
        <v>36</v>
      </c>
      <c r="B37" s="29">
        <v>304</v>
      </c>
    </row>
    <row r="39" spans="1:2" x14ac:dyDescent="0.25">
      <c r="A39" t="s">
        <v>30</v>
      </c>
      <c r="B39" s="23">
        <f>INDEX(LINEST(B2:B37,A2:A37,TRUE,TRUE),1,1)</f>
        <v>2.5386100386100385</v>
      </c>
    </row>
    <row r="40" spans="1:2" x14ac:dyDescent="0.25">
      <c r="A40" t="s">
        <v>33</v>
      </c>
      <c r="B40" s="23">
        <f>INDEX(LINEST(B2:B37,A2:A37,TRUE,TRUE),2,1)</f>
        <v>0.34018172051263179</v>
      </c>
    </row>
    <row r="41" spans="1:2" x14ac:dyDescent="0.25">
      <c r="A41" t="s">
        <v>31</v>
      </c>
      <c r="B41" s="13">
        <f>INDEX(LINEST(B2:B37,A2:A37,TRUE,TRUE),4,2)</f>
        <v>34</v>
      </c>
    </row>
    <row r="42" spans="1:2" x14ac:dyDescent="0.25">
      <c r="A42" t="s">
        <v>32</v>
      </c>
      <c r="B42" s="24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31.5" x14ac:dyDescent="0.25">
      <c r="A1" s="1" t="s">
        <v>2</v>
      </c>
      <c r="C1" s="1" t="s">
        <v>15</v>
      </c>
      <c r="E1" s="18" t="s">
        <v>8</v>
      </c>
      <c r="F1" s="18" t="s">
        <v>9</v>
      </c>
    </row>
    <row r="2" spans="1:6" x14ac:dyDescent="0.25">
      <c r="A2">
        <v>36</v>
      </c>
      <c r="C2" s="2">
        <v>0.73208959976663501</v>
      </c>
      <c r="E2" s="19">
        <f>SUM(F6:F41)</f>
        <v>14555.771064023324</v>
      </c>
      <c r="F2" s="19">
        <f>SQRT(E2/(36-1))</f>
        <v>20.393115830049346</v>
      </c>
    </row>
    <row r="4" spans="1:6" s="1" customFormat="1" ht="31.5" x14ac:dyDescent="0.2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2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2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25">
      <c r="A7">
        <v>2</v>
      </c>
      <c r="B7">
        <v>171</v>
      </c>
      <c r="C7" s="17">
        <f t="shared" ref="C7:C41" si="0">C6+C$2*E7</f>
        <v>169.24898563349342</v>
      </c>
      <c r="D7" s="17">
        <f t="shared" ref="D7:D41" si="1">C6</f>
        <v>164.46417919953328</v>
      </c>
      <c r="E7" s="17">
        <f t="shared" ref="E7:E41" si="2">B7-D7</f>
        <v>6.5358208004667233</v>
      </c>
      <c r="F7" s="17">
        <f t="shared" ref="F7:F41" si="3">E7^2</f>
        <v>42.716953535813481</v>
      </c>
    </row>
    <row r="8" spans="1:6" x14ac:dyDescent="0.25">
      <c r="A8">
        <v>3</v>
      </c>
      <c r="B8">
        <v>147</v>
      </c>
      <c r="C8" s="17">
        <f t="shared" si="0"/>
        <v>152.96073464585561</v>
      </c>
      <c r="D8" s="17">
        <f t="shared" si="1"/>
        <v>169.24898563349342</v>
      </c>
      <c r="E8" s="17">
        <f t="shared" si="2"/>
        <v>-22.248985633493419</v>
      </c>
      <c r="F8" s="17">
        <f t="shared" si="3"/>
        <v>495.01736171939655</v>
      </c>
    </row>
    <row r="9" spans="1:6" x14ac:dyDescent="0.25">
      <c r="A9">
        <v>4</v>
      </c>
      <c r="B9">
        <v>143</v>
      </c>
      <c r="C9" s="17">
        <f t="shared" si="0"/>
        <v>145.66858440558951</v>
      </c>
      <c r="D9" s="17">
        <f t="shared" si="1"/>
        <v>152.96073464585561</v>
      </c>
      <c r="E9" s="17">
        <f t="shared" si="2"/>
        <v>-9.9607346458556094</v>
      </c>
      <c r="F9" s="17">
        <f t="shared" si="3"/>
        <v>99.216234685148279</v>
      </c>
    </row>
    <row r="10" spans="1:6" x14ac:dyDescent="0.25">
      <c r="A10">
        <v>5</v>
      </c>
      <c r="B10">
        <v>164</v>
      </c>
      <c r="C10" s="17">
        <f t="shared" si="0"/>
        <v>159.08882311125734</v>
      </c>
      <c r="D10" s="17">
        <f t="shared" si="1"/>
        <v>145.66858440558951</v>
      </c>
      <c r="E10" s="17">
        <f t="shared" si="2"/>
        <v>18.331415594410487</v>
      </c>
      <c r="F10" s="17">
        <f t="shared" si="3"/>
        <v>336.040797694996</v>
      </c>
    </row>
    <row r="11" spans="1:6" x14ac:dyDescent="0.25">
      <c r="A11">
        <v>6</v>
      </c>
      <c r="B11">
        <v>160</v>
      </c>
      <c r="C11" s="17">
        <f t="shared" si="0"/>
        <v>159.75588623505357</v>
      </c>
      <c r="D11" s="17">
        <f t="shared" si="1"/>
        <v>159.08882311125734</v>
      </c>
      <c r="E11" s="17">
        <f t="shared" si="2"/>
        <v>0.91117688874265923</v>
      </c>
      <c r="F11" s="17">
        <f t="shared" si="3"/>
        <v>0.83024332257875244</v>
      </c>
    </row>
    <row r="12" spans="1:6" x14ac:dyDescent="0.25">
      <c r="A12">
        <v>7</v>
      </c>
      <c r="B12">
        <v>152</v>
      </c>
      <c r="C12" s="17">
        <f t="shared" si="0"/>
        <v>154.07788258539765</v>
      </c>
      <c r="D12" s="17">
        <f t="shared" si="1"/>
        <v>159.75588623505357</v>
      </c>
      <c r="E12" s="17">
        <f t="shared" si="2"/>
        <v>-7.7558862350535662</v>
      </c>
      <c r="F12" s="17">
        <f t="shared" si="3"/>
        <v>60.153771291093385</v>
      </c>
    </row>
    <row r="13" spans="1:6" x14ac:dyDescent="0.25">
      <c r="A13">
        <v>8</v>
      </c>
      <c r="B13">
        <v>150</v>
      </c>
      <c r="C13" s="17">
        <f t="shared" si="0"/>
        <v>151.09250715555856</v>
      </c>
      <c r="D13" s="17">
        <f t="shared" si="1"/>
        <v>154.07788258539765</v>
      </c>
      <c r="E13" s="17">
        <f t="shared" si="2"/>
        <v>-4.0778825853976457</v>
      </c>
      <c r="F13" s="17">
        <f t="shared" si="3"/>
        <v>16.629126380289389</v>
      </c>
    </row>
    <row r="14" spans="1:6" x14ac:dyDescent="0.25">
      <c r="A14">
        <v>9</v>
      </c>
      <c r="B14">
        <v>159</v>
      </c>
      <c r="C14" s="17">
        <f t="shared" si="0"/>
        <v>156.88150042720324</v>
      </c>
      <c r="D14" s="17">
        <f t="shared" si="1"/>
        <v>151.09250715555856</v>
      </c>
      <c r="E14" s="17">
        <f t="shared" si="2"/>
        <v>7.9074928444414354</v>
      </c>
      <c r="F14" s="17">
        <f t="shared" si="3"/>
        <v>62.528443084892501</v>
      </c>
    </row>
    <row r="15" spans="1:6" x14ac:dyDescent="0.25">
      <c r="A15">
        <v>10</v>
      </c>
      <c r="B15">
        <v>169</v>
      </c>
      <c r="C15" s="17">
        <f t="shared" si="0"/>
        <v>165.75332792922416</v>
      </c>
      <c r="D15" s="17">
        <f t="shared" si="1"/>
        <v>156.88150042720324</v>
      </c>
      <c r="E15" s="17">
        <f t="shared" si="2"/>
        <v>12.118499572796765</v>
      </c>
      <c r="F15" s="17">
        <f t="shared" si="3"/>
        <v>146.85803189587537</v>
      </c>
    </row>
    <row r="16" spans="1:6" x14ac:dyDescent="0.25">
      <c r="A16">
        <v>11</v>
      </c>
      <c r="B16">
        <v>173</v>
      </c>
      <c r="C16" s="17">
        <f t="shared" si="0"/>
        <v>171.0585411851585</v>
      </c>
      <c r="D16" s="17">
        <f t="shared" si="1"/>
        <v>165.75332792922416</v>
      </c>
      <c r="E16" s="17">
        <f t="shared" si="2"/>
        <v>7.2466720707758441</v>
      </c>
      <c r="F16" s="17">
        <f t="shared" si="3"/>
        <v>52.514256101362662</v>
      </c>
    </row>
    <row r="17" spans="1:6" x14ac:dyDescent="0.25">
      <c r="A17">
        <v>12</v>
      </c>
      <c r="B17">
        <v>203</v>
      </c>
      <c r="C17" s="17">
        <f t="shared" si="0"/>
        <v>194.44255098487827</v>
      </c>
      <c r="D17" s="17">
        <f t="shared" si="1"/>
        <v>171.0585411851585</v>
      </c>
      <c r="E17" s="17">
        <f t="shared" si="2"/>
        <v>31.941458814841496</v>
      </c>
      <c r="F17" s="17">
        <f t="shared" si="3"/>
        <v>1020.2567912202155</v>
      </c>
    </row>
    <row r="18" spans="1:6" x14ac:dyDescent="0.25">
      <c r="A18">
        <v>13</v>
      </c>
      <c r="B18">
        <v>169</v>
      </c>
      <c r="C18" s="17">
        <f t="shared" si="0"/>
        <v>175.81632401731653</v>
      </c>
      <c r="D18" s="17">
        <f t="shared" si="1"/>
        <v>194.44255098487827</v>
      </c>
      <c r="E18" s="17">
        <f t="shared" si="2"/>
        <v>-25.442550984878267</v>
      </c>
      <c r="F18" s="17">
        <f t="shared" si="3"/>
        <v>647.32340061813011</v>
      </c>
    </row>
    <row r="19" spans="1:6" x14ac:dyDescent="0.25">
      <c r="A19">
        <v>14</v>
      </c>
      <c r="B19">
        <v>166</v>
      </c>
      <c r="C19" s="17">
        <f t="shared" si="0"/>
        <v>168.62989529629965</v>
      </c>
      <c r="D19" s="17">
        <f t="shared" si="1"/>
        <v>175.81632401731653</v>
      </c>
      <c r="E19" s="17">
        <f t="shared" si="2"/>
        <v>-9.816324017316532</v>
      </c>
      <c r="F19" s="17">
        <f t="shared" si="3"/>
        <v>96.360217212945372</v>
      </c>
    </row>
    <row r="20" spans="1:6" x14ac:dyDescent="0.25">
      <c r="A20">
        <v>15</v>
      </c>
      <c r="B20">
        <v>162</v>
      </c>
      <c r="C20" s="17">
        <f t="shared" si="0"/>
        <v>163.77621790233695</v>
      </c>
      <c r="D20" s="17">
        <f t="shared" si="1"/>
        <v>168.62989529629965</v>
      </c>
      <c r="E20" s="17">
        <f t="shared" si="2"/>
        <v>-6.6298952962996509</v>
      </c>
      <c r="F20" s="17">
        <f t="shared" si="3"/>
        <v>43.955511639896237</v>
      </c>
    </row>
    <row r="21" spans="1:6" x14ac:dyDescent="0.25">
      <c r="A21">
        <v>16</v>
      </c>
      <c r="B21">
        <v>147</v>
      </c>
      <c r="C21" s="17">
        <f t="shared" si="0"/>
        <v>151.49452325261723</v>
      </c>
      <c r="D21" s="17">
        <f t="shared" si="1"/>
        <v>163.77621790233695</v>
      </c>
      <c r="E21" s="17">
        <f t="shared" si="2"/>
        <v>-16.776217902336953</v>
      </c>
      <c r="F21" s="17">
        <f t="shared" si="3"/>
        <v>281.44148710669089</v>
      </c>
    </row>
    <row r="22" spans="1:6" x14ac:dyDescent="0.25">
      <c r="A22">
        <v>17</v>
      </c>
      <c r="B22">
        <v>188</v>
      </c>
      <c r="C22" s="17">
        <f t="shared" si="0"/>
        <v>178.21980311389888</v>
      </c>
      <c r="D22" s="17">
        <f t="shared" si="1"/>
        <v>151.49452325261723</v>
      </c>
      <c r="E22" s="17">
        <f t="shared" si="2"/>
        <v>36.505476747382772</v>
      </c>
      <c r="F22" s="17">
        <f t="shared" si="3"/>
        <v>1332.6498325537043</v>
      </c>
    </row>
    <row r="23" spans="1:6" x14ac:dyDescent="0.25">
      <c r="A23">
        <v>18</v>
      </c>
      <c r="B23">
        <v>161</v>
      </c>
      <c r="C23" s="17">
        <f t="shared" si="0"/>
        <v>165.61336434418439</v>
      </c>
      <c r="D23" s="17">
        <f t="shared" si="1"/>
        <v>178.21980311389888</v>
      </c>
      <c r="E23" s="17">
        <f t="shared" si="2"/>
        <v>-17.219803113898877</v>
      </c>
      <c r="F23" s="17">
        <f t="shared" si="3"/>
        <v>296.52161928144147</v>
      </c>
    </row>
    <row r="24" spans="1:6" x14ac:dyDescent="0.25">
      <c r="A24">
        <v>19</v>
      </c>
      <c r="B24">
        <v>162</v>
      </c>
      <c r="C24" s="17">
        <f t="shared" si="0"/>
        <v>162.96805788763942</v>
      </c>
      <c r="D24" s="17">
        <f t="shared" si="1"/>
        <v>165.61336434418439</v>
      </c>
      <c r="E24" s="17">
        <f t="shared" si="2"/>
        <v>-3.6133643441843901</v>
      </c>
      <c r="F24" s="17">
        <f t="shared" si="3"/>
        <v>13.056401883823087</v>
      </c>
    </row>
    <row r="25" spans="1:6" x14ac:dyDescent="0.25">
      <c r="A25">
        <v>20</v>
      </c>
      <c r="B25">
        <v>169</v>
      </c>
      <c r="C25" s="17">
        <f t="shared" si="0"/>
        <v>167.383979974493</v>
      </c>
      <c r="D25" s="17">
        <f t="shared" si="1"/>
        <v>162.96805788763942</v>
      </c>
      <c r="E25" s="17">
        <f t="shared" si="2"/>
        <v>6.0319421123605821</v>
      </c>
      <c r="F25" s="17">
        <f t="shared" si="3"/>
        <v>36.384325646869044</v>
      </c>
    </row>
    <row r="26" spans="1:6" x14ac:dyDescent="0.25">
      <c r="A26">
        <v>21</v>
      </c>
      <c r="B26">
        <v>185</v>
      </c>
      <c r="C26" s="17">
        <f t="shared" si="0"/>
        <v>180.28048502444744</v>
      </c>
      <c r="D26" s="17">
        <f t="shared" si="1"/>
        <v>167.383979974493</v>
      </c>
      <c r="E26" s="17">
        <f t="shared" si="2"/>
        <v>17.616020025506998</v>
      </c>
      <c r="F26" s="17">
        <f t="shared" si="3"/>
        <v>310.3241615390636</v>
      </c>
    </row>
    <row r="27" spans="1:6" x14ac:dyDescent="0.25">
      <c r="A27">
        <v>22</v>
      </c>
      <c r="B27">
        <v>188</v>
      </c>
      <c r="C27" s="17">
        <f t="shared" si="0"/>
        <v>185.93186165329226</v>
      </c>
      <c r="D27" s="17">
        <f t="shared" si="1"/>
        <v>180.28048502444744</v>
      </c>
      <c r="E27" s="17">
        <f t="shared" si="2"/>
        <v>7.7195149755525563</v>
      </c>
      <c r="F27" s="17">
        <f t="shared" si="3"/>
        <v>59.59091145778018</v>
      </c>
    </row>
    <row r="28" spans="1:6" x14ac:dyDescent="0.25">
      <c r="A28">
        <v>23</v>
      </c>
      <c r="B28">
        <v>200</v>
      </c>
      <c r="C28" s="17">
        <f t="shared" si="0"/>
        <v>196.23099942499519</v>
      </c>
      <c r="D28" s="17">
        <f t="shared" si="1"/>
        <v>185.93186165329226</v>
      </c>
      <c r="E28" s="17">
        <f t="shared" si="2"/>
        <v>14.068138346707741</v>
      </c>
      <c r="F28" s="17">
        <f t="shared" si="3"/>
        <v>197.91251654210882</v>
      </c>
    </row>
    <row r="29" spans="1:6" x14ac:dyDescent="0.25">
      <c r="A29">
        <v>24</v>
      </c>
      <c r="B29">
        <v>229</v>
      </c>
      <c r="C29" s="17">
        <f t="shared" si="0"/>
        <v>220.22084394070311</v>
      </c>
      <c r="D29" s="17">
        <f t="shared" si="1"/>
        <v>196.23099942499519</v>
      </c>
      <c r="E29" s="17">
        <f t="shared" si="2"/>
        <v>32.76900057500481</v>
      </c>
      <c r="F29" s="17">
        <f t="shared" si="3"/>
        <v>1073.8073986846655</v>
      </c>
    </row>
    <row r="30" spans="1:6" x14ac:dyDescent="0.25">
      <c r="A30">
        <v>25</v>
      </c>
      <c r="B30">
        <v>189</v>
      </c>
      <c r="C30" s="17">
        <f t="shared" si="0"/>
        <v>197.36438879577719</v>
      </c>
      <c r="D30" s="17">
        <f t="shared" si="1"/>
        <v>220.22084394070311</v>
      </c>
      <c r="E30" s="17">
        <f t="shared" si="2"/>
        <v>-31.220843940703105</v>
      </c>
      <c r="F30" s="17">
        <f t="shared" si="3"/>
        <v>974.74109636973776</v>
      </c>
    </row>
    <row r="31" spans="1:6" x14ac:dyDescent="0.25">
      <c r="A31">
        <v>26</v>
      </c>
      <c r="B31">
        <v>218</v>
      </c>
      <c r="C31" s="17">
        <f t="shared" si="0"/>
        <v>212.47150514321655</v>
      </c>
      <c r="D31" s="17">
        <f t="shared" si="1"/>
        <v>197.36438879577719</v>
      </c>
      <c r="E31" s="17">
        <f t="shared" si="2"/>
        <v>20.635611204222812</v>
      </c>
      <c r="F31" s="17">
        <f t="shared" si="3"/>
        <v>425.82844977184607</v>
      </c>
    </row>
    <row r="32" spans="1:6" x14ac:dyDescent="0.25">
      <c r="A32">
        <v>27</v>
      </c>
      <c r="B32">
        <v>185</v>
      </c>
      <c r="C32" s="17">
        <f t="shared" si="0"/>
        <v>192.35990193793208</v>
      </c>
      <c r="D32" s="17">
        <f t="shared" si="1"/>
        <v>212.47150514321655</v>
      </c>
      <c r="E32" s="17">
        <f t="shared" si="2"/>
        <v>-27.471505143216547</v>
      </c>
      <c r="F32" s="17">
        <f t="shared" si="3"/>
        <v>754.68359483377321</v>
      </c>
    </row>
    <row r="33" spans="1:6" x14ac:dyDescent="0.25">
      <c r="A33">
        <v>28</v>
      </c>
      <c r="B33">
        <v>199</v>
      </c>
      <c r="C33" s="17">
        <f t="shared" si="0"/>
        <v>197.22104867060258</v>
      </c>
      <c r="D33" s="17">
        <f t="shared" si="1"/>
        <v>192.35990193793208</v>
      </c>
      <c r="E33" s="17">
        <f t="shared" si="2"/>
        <v>6.6400980620679206</v>
      </c>
      <c r="F33" s="17">
        <f t="shared" si="3"/>
        <v>44.090902273878157</v>
      </c>
    </row>
    <row r="34" spans="1:6" x14ac:dyDescent="0.25">
      <c r="A34">
        <v>29</v>
      </c>
      <c r="B34">
        <v>210</v>
      </c>
      <c r="C34" s="17">
        <f t="shared" si="0"/>
        <v>206.57638603477844</v>
      </c>
      <c r="D34" s="17">
        <f t="shared" si="1"/>
        <v>197.22104867060258</v>
      </c>
      <c r="E34" s="17">
        <f t="shared" si="2"/>
        <v>12.778951329397415</v>
      </c>
      <c r="F34" s="17">
        <f t="shared" si="3"/>
        <v>163.30159707910798</v>
      </c>
    </row>
    <row r="35" spans="1:6" x14ac:dyDescent="0.25">
      <c r="A35">
        <v>30</v>
      </c>
      <c r="B35">
        <v>193</v>
      </c>
      <c r="C35" s="17">
        <f t="shared" si="0"/>
        <v>196.63725501630014</v>
      </c>
      <c r="D35" s="17">
        <f t="shared" si="1"/>
        <v>206.57638603477844</v>
      </c>
      <c r="E35" s="17">
        <f t="shared" si="2"/>
        <v>-13.576386034778437</v>
      </c>
      <c r="F35" s="17">
        <f t="shared" si="3"/>
        <v>184.31825776532699</v>
      </c>
    </row>
    <row r="36" spans="1:6" x14ac:dyDescent="0.25">
      <c r="A36">
        <v>31</v>
      </c>
      <c r="B36">
        <v>211</v>
      </c>
      <c r="C36" s="17">
        <f t="shared" si="0"/>
        <v>207.15207124296722</v>
      </c>
      <c r="D36" s="17">
        <f t="shared" si="1"/>
        <v>196.63725501630014</v>
      </c>
      <c r="E36" s="17">
        <f t="shared" si="2"/>
        <v>14.362744983699855</v>
      </c>
      <c r="F36" s="17">
        <f t="shared" si="3"/>
        <v>206.28844346679534</v>
      </c>
    </row>
    <row r="37" spans="1:6" x14ac:dyDescent="0.25">
      <c r="A37">
        <v>32</v>
      </c>
      <c r="B37">
        <v>208</v>
      </c>
      <c r="C37" s="17">
        <f t="shared" si="0"/>
        <v>207.77283106733398</v>
      </c>
      <c r="D37" s="17">
        <f t="shared" si="1"/>
        <v>207.15207124296722</v>
      </c>
      <c r="E37" s="17">
        <f t="shared" si="2"/>
        <v>0.84792875703277559</v>
      </c>
      <c r="F37" s="17">
        <f t="shared" si="3"/>
        <v>0.71898317700314773</v>
      </c>
    </row>
    <row r="38" spans="1:6" x14ac:dyDescent="0.25">
      <c r="A38">
        <v>33</v>
      </c>
      <c r="B38">
        <v>216</v>
      </c>
      <c r="C38" s="17">
        <f t="shared" si="0"/>
        <v>213.79585587846194</v>
      </c>
      <c r="D38" s="17">
        <f t="shared" si="1"/>
        <v>207.77283106733398</v>
      </c>
      <c r="E38" s="17">
        <f t="shared" si="2"/>
        <v>8.227168932666018</v>
      </c>
      <c r="F38" s="17">
        <f t="shared" si="3"/>
        <v>67.686308646624909</v>
      </c>
    </row>
    <row r="39" spans="1:6" x14ac:dyDescent="0.25">
      <c r="A39">
        <v>34</v>
      </c>
      <c r="B39">
        <v>218</v>
      </c>
      <c r="C39" s="17">
        <f t="shared" si="0"/>
        <v>216.87366606575998</v>
      </c>
      <c r="D39" s="17">
        <f t="shared" si="1"/>
        <v>213.79585587846194</v>
      </c>
      <c r="E39" s="17">
        <f t="shared" si="2"/>
        <v>4.2041441215380644</v>
      </c>
      <c r="F39" s="17">
        <f t="shared" si="3"/>
        <v>17.674827794663063</v>
      </c>
    </row>
    <row r="40" spans="1:6" x14ac:dyDescent="0.25">
      <c r="A40">
        <v>35</v>
      </c>
      <c r="B40">
        <v>264</v>
      </c>
      <c r="C40" s="17">
        <f t="shared" si="0"/>
        <v>251.37436501414655</v>
      </c>
      <c r="D40" s="17">
        <f t="shared" si="1"/>
        <v>216.87366606575998</v>
      </c>
      <c r="E40" s="17">
        <f t="shared" si="2"/>
        <v>47.126333934240023</v>
      </c>
      <c r="F40" s="17">
        <f t="shared" si="3"/>
        <v>2220.8913500815029</v>
      </c>
    </row>
    <row r="41" spans="1:6" x14ac:dyDescent="0.25">
      <c r="A41">
        <v>36</v>
      </c>
      <c r="B41">
        <v>304</v>
      </c>
      <c r="C41" s="17">
        <f t="shared" si="0"/>
        <v>289.90104506840504</v>
      </c>
      <c r="D41" s="17">
        <f t="shared" si="1"/>
        <v>251.37436501414655</v>
      </c>
      <c r="E41" s="17">
        <f t="shared" si="2"/>
        <v>52.625634985853452</v>
      </c>
      <c r="F41" s="17">
        <f t="shared" si="3"/>
        <v>2769.4574576642831</v>
      </c>
    </row>
    <row r="42" spans="1:6" x14ac:dyDescent="0.2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2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2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2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2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2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2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2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2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2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2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2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53"/>
  <sheetViews>
    <sheetView workbookViewId="0">
      <pane ySplit="4" topLeftCell="A5" activePane="bottomLeft" state="frozen"/>
      <selection activeCell="O15" sqref="O15"/>
      <selection pane="bottomLeft" activeCell="F10" sqref="F10"/>
    </sheetView>
  </sheetViews>
  <sheetFormatPr defaultColWidth="11" defaultRowHeight="15.75" x14ac:dyDescent="0.25"/>
  <cols>
    <col min="1" max="1" width="12" bestFit="1" customWidth="1"/>
    <col min="3" max="3" width="10.875" style="17"/>
    <col min="4" max="4" width="11.875" style="17" customWidth="1"/>
    <col min="5" max="7" width="10.875" style="17" customWidth="1"/>
  </cols>
  <sheetData>
    <row r="1" spans="1:8" s="1" customFormat="1" ht="63" x14ac:dyDescent="0.25">
      <c r="A1" s="1" t="s">
        <v>14</v>
      </c>
      <c r="C1" s="18" t="s">
        <v>15</v>
      </c>
      <c r="D1" s="18" t="s">
        <v>16</v>
      </c>
      <c r="E1" s="18"/>
      <c r="F1" s="18" t="s">
        <v>8</v>
      </c>
      <c r="G1" s="18" t="s">
        <v>9</v>
      </c>
    </row>
    <row r="2" spans="1:8" x14ac:dyDescent="0.25">
      <c r="A2">
        <v>36</v>
      </c>
      <c r="C2" s="17">
        <v>0.65910004656016274</v>
      </c>
      <c r="D2" s="17">
        <v>5.3117180460981163E-2</v>
      </c>
      <c r="F2" s="17">
        <f>SUM(G6:G41)</f>
        <v>14097.280825537555</v>
      </c>
      <c r="G2" s="17">
        <f>SQRT(F2/(36-2))</f>
        <v>20.362364956788724</v>
      </c>
    </row>
    <row r="4" spans="1:8" ht="27" customHeight="1" x14ac:dyDescent="0.25">
      <c r="A4" s="1" t="s">
        <v>1</v>
      </c>
      <c r="B4" s="1" t="s">
        <v>3</v>
      </c>
      <c r="C4" s="17" t="s">
        <v>12</v>
      </c>
      <c r="D4" s="17" t="s">
        <v>28</v>
      </c>
      <c r="E4" s="18" t="s">
        <v>5</v>
      </c>
      <c r="F4" s="18" t="s">
        <v>6</v>
      </c>
      <c r="G4" s="18" t="s">
        <v>7</v>
      </c>
      <c r="H4" s="1"/>
    </row>
    <row r="5" spans="1:8" x14ac:dyDescent="0.25">
      <c r="A5" s="6">
        <v>0</v>
      </c>
      <c r="B5" s="6"/>
      <c r="C5" s="20">
        <v>155.88</v>
      </c>
      <c r="D5" s="20">
        <v>0.83689999999999998</v>
      </c>
      <c r="E5" s="20"/>
      <c r="F5" s="20"/>
      <c r="G5" s="20"/>
    </row>
    <row r="6" spans="1:8" x14ac:dyDescent="0.25">
      <c r="A6">
        <v>1</v>
      </c>
      <c r="B6">
        <v>165</v>
      </c>
      <c r="C6" s="17">
        <f>C5+D5+C$2*F6</f>
        <v>162.17629159566249</v>
      </c>
      <c r="D6" s="17">
        <f>D5+D$2*C$2*F6</f>
        <v>1.1268874885939677</v>
      </c>
      <c r="E6" s="17">
        <f>C5+D5</f>
        <v>156.71690000000001</v>
      </c>
      <c r="F6" s="17">
        <f>B6-E6</f>
        <v>8.2830999999999904</v>
      </c>
      <c r="G6" s="17">
        <f>F6^2</f>
        <v>68.609745609999834</v>
      </c>
    </row>
    <row r="7" spans="1:8" x14ac:dyDescent="0.25">
      <c r="A7">
        <v>2</v>
      </c>
      <c r="B7">
        <v>171</v>
      </c>
      <c r="C7" s="17">
        <f t="shared" ref="C7:C41" si="0">C6+D6+C$2*F7</f>
        <v>168.37615410818827</v>
      </c>
      <c r="D7" s="17">
        <f t="shared" ref="D7:D41" si="1">D6+D$2*C$2*F7</f>
        <v>1.396349618414203</v>
      </c>
      <c r="E7" s="17">
        <f t="shared" ref="E7:E41" si="2">C6+D6</f>
        <v>163.30317908425647</v>
      </c>
      <c r="F7" s="17">
        <f t="shared" ref="F7:F41" si="3">B7-E7</f>
        <v>7.6968209157435297</v>
      </c>
      <c r="G7" s="17">
        <f t="shared" ref="G7:G41" si="4">F7^2</f>
        <v>59.241052209027067</v>
      </c>
    </row>
    <row r="8" spans="1:8" x14ac:dyDescent="0.25">
      <c r="A8">
        <v>3</v>
      </c>
      <c r="B8">
        <v>147</v>
      </c>
      <c r="C8" s="17">
        <f t="shared" si="0"/>
        <v>154.7631454601073</v>
      </c>
      <c r="D8" s="17">
        <f t="shared" si="1"/>
        <v>0.59909482676925951</v>
      </c>
      <c r="E8" s="17">
        <f t="shared" si="2"/>
        <v>169.77250372660248</v>
      </c>
      <c r="F8" s="17">
        <f t="shared" si="3"/>
        <v>-22.77250372660248</v>
      </c>
      <c r="G8" s="17">
        <f t="shared" si="4"/>
        <v>518.58692597812387</v>
      </c>
    </row>
    <row r="9" spans="1:8" x14ac:dyDescent="0.25">
      <c r="A9">
        <v>4</v>
      </c>
      <c r="B9">
        <v>143</v>
      </c>
      <c r="C9" s="17">
        <f t="shared" si="0"/>
        <v>147.21428713820831</v>
      </c>
      <c r="D9" s="17">
        <f t="shared" si="1"/>
        <v>0.16629852898382796</v>
      </c>
      <c r="E9" s="17">
        <f t="shared" si="2"/>
        <v>155.36224028687656</v>
      </c>
      <c r="F9" s="17">
        <f t="shared" si="3"/>
        <v>-12.362240286876556</v>
      </c>
      <c r="G9" s="17">
        <f t="shared" si="4"/>
        <v>152.82498491047375</v>
      </c>
    </row>
    <row r="10" spans="1:8" x14ac:dyDescent="0.25">
      <c r="A10">
        <v>5</v>
      </c>
      <c r="B10">
        <v>164</v>
      </c>
      <c r="C10" s="17">
        <f t="shared" si="0"/>
        <v>158.33444242774843</v>
      </c>
      <c r="D10" s="17">
        <f t="shared" si="1"/>
        <v>0.74813651527803593</v>
      </c>
      <c r="E10" s="17">
        <f t="shared" si="2"/>
        <v>147.38058566719212</v>
      </c>
      <c r="F10" s="17">
        <f t="shared" si="3"/>
        <v>16.619414332807878</v>
      </c>
      <c r="G10" s="17">
        <f t="shared" si="4"/>
        <v>276.20493276553992</v>
      </c>
    </row>
    <row r="11" spans="1:8" x14ac:dyDescent="0.25">
      <c r="A11">
        <v>6</v>
      </c>
      <c r="B11">
        <v>160</v>
      </c>
      <c r="C11" s="17">
        <f t="shared" si="0"/>
        <v>159.68725120439299</v>
      </c>
      <c r="D11" s="17">
        <f t="shared" si="1"/>
        <v>0.78025500090479105</v>
      </c>
      <c r="E11" s="17">
        <f t="shared" si="2"/>
        <v>159.08257894302648</v>
      </c>
      <c r="F11" s="17">
        <f t="shared" si="3"/>
        <v>0.91742105697352372</v>
      </c>
      <c r="G11" s="17">
        <f t="shared" si="4"/>
        <v>0.84166139577841748</v>
      </c>
    </row>
    <row r="12" spans="1:8" x14ac:dyDescent="0.25">
      <c r="A12">
        <v>7</v>
      </c>
      <c r="B12">
        <v>152</v>
      </c>
      <c r="C12" s="17">
        <f t="shared" si="0"/>
        <v>154.88657247113755</v>
      </c>
      <c r="D12" s="17">
        <f t="shared" si="1"/>
        <v>0.4838115366066244</v>
      </c>
      <c r="E12" s="17">
        <f t="shared" si="2"/>
        <v>160.46750620529778</v>
      </c>
      <c r="F12" s="17">
        <f t="shared" si="3"/>
        <v>-8.4675062052977808</v>
      </c>
      <c r="G12" s="17">
        <f t="shared" si="4"/>
        <v>71.698661336756416</v>
      </c>
    </row>
    <row r="13" spans="1:8" x14ac:dyDescent="0.25">
      <c r="A13">
        <v>8</v>
      </c>
      <c r="B13">
        <v>150</v>
      </c>
      <c r="C13" s="17">
        <f t="shared" si="0"/>
        <v>151.83076365819403</v>
      </c>
      <c r="D13" s="17">
        <f t="shared" si="1"/>
        <v>0.29579688373620833</v>
      </c>
      <c r="E13" s="17">
        <f t="shared" si="2"/>
        <v>155.37038400774418</v>
      </c>
      <c r="F13" s="17">
        <f t="shared" si="3"/>
        <v>-5.3703840077441782</v>
      </c>
      <c r="G13" s="17">
        <f t="shared" si="4"/>
        <v>28.841024390634423</v>
      </c>
    </row>
    <row r="14" spans="1:8" x14ac:dyDescent="0.25">
      <c r="A14">
        <v>9</v>
      </c>
      <c r="B14">
        <v>159</v>
      </c>
      <c r="C14" s="17">
        <f t="shared" si="0"/>
        <v>156.65684480877249</v>
      </c>
      <c r="D14" s="17">
        <f t="shared" si="1"/>
        <v>0.53643281067761106</v>
      </c>
      <c r="E14" s="17">
        <f t="shared" si="2"/>
        <v>152.12656054193025</v>
      </c>
      <c r="F14" s="17">
        <f t="shared" si="3"/>
        <v>6.873439458069754</v>
      </c>
      <c r="G14" s="17">
        <f t="shared" si="4"/>
        <v>47.244169983750233</v>
      </c>
    </row>
    <row r="15" spans="1:8" x14ac:dyDescent="0.25">
      <c r="A15">
        <v>10</v>
      </c>
      <c r="B15">
        <v>169</v>
      </c>
      <c r="C15" s="17">
        <f t="shared" si="0"/>
        <v>164.97508889019346</v>
      </c>
      <c r="D15" s="17">
        <f t="shared" si="1"/>
        <v>0.94978068425898288</v>
      </c>
      <c r="E15" s="17">
        <f t="shared" si="2"/>
        <v>157.1932776194501</v>
      </c>
      <c r="F15" s="17">
        <f t="shared" si="3"/>
        <v>11.8067223805499</v>
      </c>
      <c r="G15" s="17">
        <f t="shared" si="4"/>
        <v>139.3986933713779</v>
      </c>
    </row>
    <row r="16" spans="1:8" x14ac:dyDescent="0.25">
      <c r="A16">
        <v>11</v>
      </c>
      <c r="B16">
        <v>173</v>
      </c>
      <c r="C16" s="17">
        <f t="shared" si="0"/>
        <v>170.58808836735005</v>
      </c>
      <c r="D16" s="17">
        <f t="shared" si="1"/>
        <v>1.197477718410364</v>
      </c>
      <c r="E16" s="17">
        <f t="shared" si="2"/>
        <v>165.92486957445246</v>
      </c>
      <c r="F16" s="17">
        <f t="shared" si="3"/>
        <v>7.0751304255475418</v>
      </c>
      <c r="G16" s="17">
        <f t="shared" si="4"/>
        <v>50.057470538508539</v>
      </c>
    </row>
    <row r="17" spans="1:7" x14ac:dyDescent="0.25">
      <c r="A17">
        <v>12</v>
      </c>
      <c r="B17">
        <v>203</v>
      </c>
      <c r="C17" s="17">
        <f t="shared" si="0"/>
        <v>192.35900093198484</v>
      </c>
      <c r="D17" s="17">
        <f t="shared" si="1"/>
        <v>2.2902805698395055</v>
      </c>
      <c r="E17" s="17">
        <f t="shared" si="2"/>
        <v>171.78556608576042</v>
      </c>
      <c r="F17" s="17">
        <f t="shared" si="3"/>
        <v>31.214433914239578</v>
      </c>
      <c r="G17" s="17">
        <f t="shared" si="4"/>
        <v>974.34088458642998</v>
      </c>
    </row>
    <row r="18" spans="1:7" x14ac:dyDescent="0.25">
      <c r="A18">
        <v>13</v>
      </c>
      <c r="B18">
        <v>169</v>
      </c>
      <c r="C18" s="17">
        <f t="shared" si="0"/>
        <v>177.7438388697372</v>
      </c>
      <c r="D18" s="17">
        <f t="shared" si="1"/>
        <v>1.3923111227781684</v>
      </c>
      <c r="E18" s="17">
        <f t="shared" si="2"/>
        <v>194.64928150182433</v>
      </c>
      <c r="F18" s="17">
        <f t="shared" si="3"/>
        <v>-25.649281501824333</v>
      </c>
      <c r="G18" s="17">
        <f t="shared" si="4"/>
        <v>657.88564155982795</v>
      </c>
    </row>
    <row r="19" spans="1:7" x14ac:dyDescent="0.25">
      <c r="A19">
        <v>14</v>
      </c>
      <c r="B19">
        <v>166</v>
      </c>
      <c r="C19" s="17">
        <f t="shared" si="0"/>
        <v>170.47811292082721</v>
      </c>
      <c r="D19" s="17">
        <f t="shared" si="1"/>
        <v>0.93242060520344294</v>
      </c>
      <c r="E19" s="17">
        <f t="shared" si="2"/>
        <v>179.13614999251539</v>
      </c>
      <c r="F19" s="17">
        <f t="shared" si="3"/>
        <v>-13.136149992515385</v>
      </c>
      <c r="G19" s="17">
        <f t="shared" si="4"/>
        <v>172.55843662586196</v>
      </c>
    </row>
    <row r="20" spans="1:7" x14ac:dyDescent="0.25">
      <c r="A20">
        <v>15</v>
      </c>
      <c r="B20">
        <v>162</v>
      </c>
      <c r="C20" s="17">
        <f t="shared" si="0"/>
        <v>165.20805044086788</v>
      </c>
      <c r="D20" s="17">
        <f t="shared" si="1"/>
        <v>0.60296219186266831</v>
      </c>
      <c r="E20" s="17">
        <f t="shared" si="2"/>
        <v>171.41053352603066</v>
      </c>
      <c r="F20" s="17">
        <f t="shared" si="3"/>
        <v>-9.4105335260306617</v>
      </c>
      <c r="G20" s="17">
        <f t="shared" si="4"/>
        <v>88.558141244547073</v>
      </c>
    </row>
    <row r="21" spans="1:7" x14ac:dyDescent="0.25">
      <c r="A21">
        <v>16</v>
      </c>
      <c r="B21">
        <v>147</v>
      </c>
      <c r="C21" s="17">
        <f t="shared" si="0"/>
        <v>153.41267333065403</v>
      </c>
      <c r="D21" s="17">
        <f t="shared" si="1"/>
        <v>-5.5602634262205242E-2</v>
      </c>
      <c r="E21" s="17">
        <f t="shared" si="2"/>
        <v>165.81101263273055</v>
      </c>
      <c r="F21" s="17">
        <f t="shared" si="3"/>
        <v>-18.811012632730552</v>
      </c>
      <c r="G21" s="17">
        <f t="shared" si="4"/>
        <v>353.85419626874841</v>
      </c>
    </row>
    <row r="22" spans="1:7" x14ac:dyDescent="0.25">
      <c r="A22">
        <v>17</v>
      </c>
      <c r="B22">
        <v>188</v>
      </c>
      <c r="C22" s="17">
        <f t="shared" si="0"/>
        <v>176.19022701338039</v>
      </c>
      <c r="D22" s="17">
        <f t="shared" si="1"/>
        <v>1.1572302503210694</v>
      </c>
      <c r="E22" s="17">
        <f t="shared" si="2"/>
        <v>153.35707069639182</v>
      </c>
      <c r="F22" s="17">
        <f t="shared" si="3"/>
        <v>34.642929303608184</v>
      </c>
      <c r="G22" s="17">
        <f t="shared" si="4"/>
        <v>1200.1325507347947</v>
      </c>
    </row>
    <row r="23" spans="1:7" x14ac:dyDescent="0.25">
      <c r="A23">
        <v>18</v>
      </c>
      <c r="B23">
        <v>161</v>
      </c>
      <c r="C23" s="17">
        <f t="shared" si="0"/>
        <v>166.57284742005555</v>
      </c>
      <c r="D23" s="17">
        <f t="shared" si="1"/>
        <v>0.5849133548594655</v>
      </c>
      <c r="E23" s="17">
        <f t="shared" si="2"/>
        <v>177.34745726370147</v>
      </c>
      <c r="F23" s="17">
        <f t="shared" si="3"/>
        <v>-16.347457263701472</v>
      </c>
      <c r="G23" s="17">
        <f t="shared" si="4"/>
        <v>267.23935898854603</v>
      </c>
    </row>
    <row r="24" spans="1:7" x14ac:dyDescent="0.25">
      <c r="A24">
        <v>19</v>
      </c>
      <c r="B24">
        <v>162</v>
      </c>
      <c r="C24" s="17">
        <f t="shared" si="0"/>
        <v>163.75828040802236</v>
      </c>
      <c r="D24" s="17">
        <f t="shared" si="1"/>
        <v>0.40434254273766557</v>
      </c>
      <c r="E24" s="17">
        <f t="shared" si="2"/>
        <v>167.157760774915</v>
      </c>
      <c r="F24" s="17">
        <f t="shared" si="3"/>
        <v>-5.1577607749150047</v>
      </c>
      <c r="G24" s="17">
        <f t="shared" si="4"/>
        <v>26.602496211251829</v>
      </c>
    </row>
    <row r="25" spans="1:7" x14ac:dyDescent="0.25">
      <c r="A25">
        <v>20</v>
      </c>
      <c r="B25">
        <v>169</v>
      </c>
      <c r="C25" s="17">
        <f t="shared" si="0"/>
        <v>167.35093838914315</v>
      </c>
      <c r="D25" s="17">
        <f t="shared" si="1"/>
        <v>0.57369686924479502</v>
      </c>
      <c r="E25" s="17">
        <f t="shared" si="2"/>
        <v>164.16262295076001</v>
      </c>
      <c r="F25" s="17">
        <f t="shared" si="3"/>
        <v>4.8373770492399899</v>
      </c>
      <c r="G25" s="17">
        <f t="shared" si="4"/>
        <v>23.400216716513793</v>
      </c>
    </row>
    <row r="26" spans="1:7" x14ac:dyDescent="0.25">
      <c r="A26">
        <v>21</v>
      </c>
      <c r="B26">
        <v>185</v>
      </c>
      <c r="C26" s="17">
        <f t="shared" si="0"/>
        <v>179.17900895461622</v>
      </c>
      <c r="D26" s="17">
        <f t="shared" si="1"/>
        <v>1.1714974678426713</v>
      </c>
      <c r="E26" s="17">
        <f t="shared" si="2"/>
        <v>167.92463525838795</v>
      </c>
      <c r="F26" s="17">
        <f t="shared" si="3"/>
        <v>17.075364741612049</v>
      </c>
      <c r="G26" s="17">
        <f t="shared" si="4"/>
        <v>291.56808105908789</v>
      </c>
    </row>
    <row r="27" spans="1:7" x14ac:dyDescent="0.25">
      <c r="A27">
        <v>22</v>
      </c>
      <c r="B27">
        <v>188</v>
      </c>
      <c r="C27" s="17">
        <f t="shared" si="0"/>
        <v>185.3922879955779</v>
      </c>
      <c r="D27" s="17">
        <f t="shared" si="1"/>
        <v>1.4393026895068832</v>
      </c>
      <c r="E27" s="17">
        <f t="shared" si="2"/>
        <v>180.35050642245889</v>
      </c>
      <c r="F27" s="17">
        <f t="shared" si="3"/>
        <v>7.6494935775411079</v>
      </c>
      <c r="G27" s="17">
        <f t="shared" si="4"/>
        <v>58.514751992842655</v>
      </c>
    </row>
    <row r="28" spans="1:7" x14ac:dyDescent="0.25">
      <c r="A28">
        <v>23</v>
      </c>
      <c r="B28">
        <v>200</v>
      </c>
      <c r="C28" s="17">
        <f t="shared" si="0"/>
        <v>195.51088987766869</v>
      </c>
      <c r="D28" s="17">
        <f t="shared" si="1"/>
        <v>1.9003225909942101</v>
      </c>
      <c r="E28" s="17">
        <f t="shared" si="2"/>
        <v>186.83159068508479</v>
      </c>
      <c r="F28" s="17">
        <f t="shared" si="3"/>
        <v>13.168409314915209</v>
      </c>
      <c r="G28" s="17">
        <f t="shared" si="4"/>
        <v>173.40700388514566</v>
      </c>
    </row>
    <row r="29" spans="1:7" x14ac:dyDescent="0.25">
      <c r="A29">
        <v>24</v>
      </c>
      <c r="B29">
        <v>229</v>
      </c>
      <c r="C29" s="17">
        <f t="shared" si="0"/>
        <v>218.23138380134628</v>
      </c>
      <c r="D29" s="17">
        <f t="shared" si="1"/>
        <v>3.0062313889008987</v>
      </c>
      <c r="E29" s="17">
        <f t="shared" si="2"/>
        <v>197.41121246866291</v>
      </c>
      <c r="F29" s="17">
        <f t="shared" si="3"/>
        <v>31.58878753133709</v>
      </c>
      <c r="G29" s="17">
        <f t="shared" si="4"/>
        <v>997.85149769995758</v>
      </c>
    </row>
    <row r="30" spans="1:7" x14ac:dyDescent="0.25">
      <c r="A30">
        <v>25</v>
      </c>
      <c r="B30">
        <v>189</v>
      </c>
      <c r="C30" s="17">
        <f t="shared" si="0"/>
        <v>199.98980151736666</v>
      </c>
      <c r="D30" s="17">
        <f t="shared" si="1"/>
        <v>1.8776074356372012</v>
      </c>
      <c r="E30" s="17">
        <f t="shared" si="2"/>
        <v>221.23761519024717</v>
      </c>
      <c r="F30" s="17">
        <f t="shared" si="3"/>
        <v>-32.237615190247169</v>
      </c>
      <c r="G30" s="17">
        <f t="shared" si="4"/>
        <v>1039.2638331544549</v>
      </c>
    </row>
    <row r="31" spans="1:7" x14ac:dyDescent="0.25">
      <c r="A31">
        <v>26</v>
      </c>
      <c r="B31">
        <v>218</v>
      </c>
      <c r="C31" s="17">
        <f t="shared" si="0"/>
        <v>212.50040046321507</v>
      </c>
      <c r="D31" s="17">
        <f t="shared" si="1"/>
        <v>2.4424019645251711</v>
      </c>
      <c r="E31" s="17">
        <f t="shared" si="2"/>
        <v>201.86740895300386</v>
      </c>
      <c r="F31" s="17">
        <f t="shared" si="3"/>
        <v>16.13259104699614</v>
      </c>
      <c r="G31" s="17">
        <f t="shared" si="4"/>
        <v>260.26049388962002</v>
      </c>
    </row>
    <row r="32" spans="1:7" x14ac:dyDescent="0.25">
      <c r="A32">
        <v>27</v>
      </c>
      <c r="B32">
        <v>185</v>
      </c>
      <c r="C32" s="17">
        <f t="shared" si="0"/>
        <v>195.20749995347489</v>
      </c>
      <c r="D32" s="17">
        <f t="shared" si="1"/>
        <v>1.3941183415475704</v>
      </c>
      <c r="E32" s="17">
        <f t="shared" si="2"/>
        <v>214.94280242774025</v>
      </c>
      <c r="F32" s="17">
        <f t="shared" si="3"/>
        <v>-29.942802427740247</v>
      </c>
      <c r="G32" s="17">
        <f t="shared" si="4"/>
        <v>896.57141722668723</v>
      </c>
    </row>
    <row r="33" spans="1:7" x14ac:dyDescent="0.25">
      <c r="A33">
        <v>28</v>
      </c>
      <c r="B33">
        <v>199</v>
      </c>
      <c r="C33" s="17">
        <f t="shared" si="0"/>
        <v>198.1823917884422</v>
      </c>
      <c r="D33" s="17">
        <f t="shared" si="1"/>
        <v>1.4780845724654823</v>
      </c>
      <c r="E33" s="17">
        <f t="shared" si="2"/>
        <v>196.60161829502246</v>
      </c>
      <c r="F33" s="17">
        <f t="shared" si="3"/>
        <v>2.3983817049775382</v>
      </c>
      <c r="G33" s="17">
        <f t="shared" si="4"/>
        <v>5.7522348027709631</v>
      </c>
    </row>
    <row r="34" spans="1:7" x14ac:dyDescent="0.25">
      <c r="A34">
        <v>29</v>
      </c>
      <c r="B34">
        <v>210</v>
      </c>
      <c r="C34" s="17">
        <f t="shared" si="0"/>
        <v>206.47525687284335</v>
      </c>
      <c r="D34" s="17">
        <f t="shared" si="1"/>
        <v>1.8400664987199453</v>
      </c>
      <c r="E34" s="17">
        <f t="shared" si="2"/>
        <v>199.66047636090769</v>
      </c>
      <c r="F34" s="17">
        <f t="shared" si="3"/>
        <v>10.339523639092306</v>
      </c>
      <c r="G34" s="17">
        <f t="shared" si="4"/>
        <v>106.9057490833486</v>
      </c>
    </row>
    <row r="35" spans="1:7" x14ac:dyDescent="0.25">
      <c r="A35">
        <v>30</v>
      </c>
      <c r="B35">
        <v>193</v>
      </c>
      <c r="C35" s="17">
        <f t="shared" si="0"/>
        <v>198.22099302428197</v>
      </c>
      <c r="D35" s="17">
        <f t="shared" si="1"/>
        <v>1.3038841320306451</v>
      </c>
      <c r="E35" s="17">
        <f t="shared" si="2"/>
        <v>208.3153233715633</v>
      </c>
      <c r="F35" s="17">
        <f t="shared" si="3"/>
        <v>-15.315323371563295</v>
      </c>
      <c r="G35" s="17">
        <f t="shared" si="4"/>
        <v>234.55912997555291</v>
      </c>
    </row>
    <row r="36" spans="1:7" x14ac:dyDescent="0.25">
      <c r="A36">
        <v>31</v>
      </c>
      <c r="B36">
        <v>211</v>
      </c>
      <c r="C36" s="17">
        <f t="shared" si="0"/>
        <v>207.08813115687056</v>
      </c>
      <c r="D36" s="17">
        <f t="shared" si="1"/>
        <v>1.7056228596505192</v>
      </c>
      <c r="E36" s="17">
        <f t="shared" si="2"/>
        <v>199.52487715631261</v>
      </c>
      <c r="F36" s="17">
        <f t="shared" si="3"/>
        <v>11.475122843687387</v>
      </c>
      <c r="G36" s="17">
        <f t="shared" si="4"/>
        <v>131.67844427771612</v>
      </c>
    </row>
    <row r="37" spans="1:7" x14ac:dyDescent="0.25">
      <c r="A37">
        <v>32</v>
      </c>
      <c r="B37">
        <v>208</v>
      </c>
      <c r="C37" s="17">
        <f t="shared" si="0"/>
        <v>208.27059070727472</v>
      </c>
      <c r="D37" s="17">
        <f t="shared" si="1"/>
        <v>1.6778338997427158</v>
      </c>
      <c r="E37" s="17">
        <f t="shared" si="2"/>
        <v>208.79375401652109</v>
      </c>
      <c r="F37" s="17">
        <f t="shared" si="3"/>
        <v>-0.7937540165210919</v>
      </c>
      <c r="G37" s="17">
        <f t="shared" si="4"/>
        <v>0.63004543874336583</v>
      </c>
    </row>
    <row r="38" spans="1:7" x14ac:dyDescent="0.25">
      <c r="A38">
        <v>33</v>
      </c>
      <c r="B38">
        <v>216</v>
      </c>
      <c r="C38" s="17">
        <f t="shared" si="0"/>
        <v>213.93701823029457</v>
      </c>
      <c r="D38" s="17">
        <f t="shared" si="1"/>
        <v>1.8896967470158463</v>
      </c>
      <c r="E38" s="17">
        <f t="shared" si="2"/>
        <v>209.94842460701744</v>
      </c>
      <c r="F38" s="17">
        <f t="shared" si="3"/>
        <v>6.0515753929825564</v>
      </c>
      <c r="G38" s="17">
        <f t="shared" si="4"/>
        <v>36.621564736951981</v>
      </c>
    </row>
    <row r="39" spans="1:7" x14ac:dyDescent="0.25">
      <c r="A39">
        <v>34</v>
      </c>
      <c r="B39">
        <v>218</v>
      </c>
      <c r="C39" s="17">
        <f t="shared" si="0"/>
        <v>217.25912723695362</v>
      </c>
      <c r="D39" s="17">
        <f t="shared" si="1"/>
        <v>1.9657824475058365</v>
      </c>
      <c r="E39" s="17">
        <f t="shared" si="2"/>
        <v>215.82671497731042</v>
      </c>
      <c r="F39" s="17">
        <f t="shared" si="3"/>
        <v>2.1732850226895835</v>
      </c>
      <c r="G39" s="17">
        <f t="shared" si="4"/>
        <v>4.7231677898468636</v>
      </c>
    </row>
    <row r="40" spans="1:7" x14ac:dyDescent="0.25">
      <c r="A40">
        <v>35</v>
      </c>
      <c r="B40">
        <v>264</v>
      </c>
      <c r="C40" s="17">
        <f t="shared" si="0"/>
        <v>248.73617379616772</v>
      </c>
      <c r="D40" s="17">
        <f t="shared" si="1"/>
        <v>3.5333375889591219</v>
      </c>
      <c r="E40" s="17">
        <f t="shared" si="2"/>
        <v>219.22490968445945</v>
      </c>
      <c r="F40" s="17">
        <f t="shared" si="3"/>
        <v>44.775090315540552</v>
      </c>
      <c r="G40" s="17">
        <f t="shared" si="4"/>
        <v>2004.8087127648134</v>
      </c>
    </row>
    <row r="41" spans="1:7" x14ac:dyDescent="0.25">
      <c r="A41">
        <v>36</v>
      </c>
      <c r="B41">
        <v>304</v>
      </c>
      <c r="C41" s="17">
        <f t="shared" si="0"/>
        <v>286.36507883976969</v>
      </c>
      <c r="D41" s="17">
        <f t="shared" si="1"/>
        <v>5.3443979983669436</v>
      </c>
      <c r="E41" s="17">
        <f t="shared" si="2"/>
        <v>252.26951138512683</v>
      </c>
      <c r="F41" s="17">
        <f t="shared" si="3"/>
        <v>51.730488614873167</v>
      </c>
      <c r="G41" s="17">
        <f t="shared" si="4"/>
        <v>2676.0434523335225</v>
      </c>
    </row>
    <row r="42" spans="1:7" x14ac:dyDescent="0.25">
      <c r="A42" s="4">
        <v>37</v>
      </c>
      <c r="B42" s="5">
        <f>C$41+(A42-A$41)*D$41</f>
        <v>291.70947683813665</v>
      </c>
      <c r="C42" s="20"/>
      <c r="D42" s="20"/>
      <c r="E42" s="20"/>
      <c r="F42" s="20"/>
      <c r="G42" s="20"/>
    </row>
    <row r="43" spans="1:7" x14ac:dyDescent="0.25">
      <c r="A43" s="4">
        <v>38</v>
      </c>
      <c r="B43" s="5">
        <f t="shared" ref="B43:B53" si="5">C$41+(A43-A$41)*D$41</f>
        <v>297.05387483650361</v>
      </c>
      <c r="C43" s="20"/>
      <c r="D43" s="20"/>
      <c r="E43" s="20"/>
      <c r="F43" s="20"/>
      <c r="G43" s="20"/>
    </row>
    <row r="44" spans="1:7" x14ac:dyDescent="0.25">
      <c r="A44" s="4">
        <v>39</v>
      </c>
      <c r="B44" s="5">
        <f t="shared" si="5"/>
        <v>302.39827283487051</v>
      </c>
      <c r="C44" s="20"/>
      <c r="D44" s="20"/>
      <c r="E44" s="20"/>
      <c r="F44" s="20"/>
      <c r="G44" s="20"/>
    </row>
    <row r="45" spans="1:7" x14ac:dyDescent="0.25">
      <c r="A45" s="4">
        <v>40</v>
      </c>
      <c r="B45" s="5">
        <f t="shared" si="5"/>
        <v>307.74267083323747</v>
      </c>
      <c r="C45" s="20"/>
      <c r="D45" s="20"/>
      <c r="E45" s="20"/>
      <c r="F45" s="20"/>
      <c r="G45" s="20"/>
    </row>
    <row r="46" spans="1:7" x14ac:dyDescent="0.25">
      <c r="A46" s="4">
        <v>41</v>
      </c>
      <c r="B46" s="5">
        <f t="shared" si="5"/>
        <v>313.08706883160443</v>
      </c>
      <c r="C46" s="20"/>
      <c r="D46" s="20"/>
      <c r="E46" s="20"/>
      <c r="F46" s="20"/>
      <c r="G46" s="20"/>
    </row>
    <row r="47" spans="1:7" x14ac:dyDescent="0.25">
      <c r="A47" s="4">
        <v>42</v>
      </c>
      <c r="B47" s="5">
        <f t="shared" si="5"/>
        <v>318.43146682997133</v>
      </c>
      <c r="C47" s="20"/>
      <c r="D47" s="20"/>
      <c r="E47" s="20"/>
      <c r="F47" s="20"/>
      <c r="G47" s="20"/>
    </row>
    <row r="48" spans="1:7" x14ac:dyDescent="0.25">
      <c r="A48" s="4">
        <v>43</v>
      </c>
      <c r="B48" s="5">
        <f t="shared" si="5"/>
        <v>323.77586482833829</v>
      </c>
      <c r="C48" s="20"/>
      <c r="D48" s="20"/>
      <c r="E48" s="20"/>
      <c r="F48" s="20"/>
      <c r="G48" s="20"/>
    </row>
    <row r="49" spans="1:7" x14ac:dyDescent="0.25">
      <c r="A49" s="4">
        <v>44</v>
      </c>
      <c r="B49" s="5">
        <f t="shared" si="5"/>
        <v>329.12026282670524</v>
      </c>
      <c r="C49" s="20"/>
      <c r="D49" s="20"/>
      <c r="E49" s="20"/>
      <c r="F49" s="20"/>
      <c r="G49" s="20"/>
    </row>
    <row r="50" spans="1:7" x14ac:dyDescent="0.25">
      <c r="A50" s="4">
        <v>45</v>
      </c>
      <c r="B50" s="5">
        <f t="shared" si="5"/>
        <v>334.4646608250722</v>
      </c>
      <c r="C50" s="20"/>
      <c r="D50" s="20"/>
      <c r="E50" s="20"/>
      <c r="F50" s="20"/>
      <c r="G50" s="20"/>
    </row>
    <row r="51" spans="1:7" x14ac:dyDescent="0.25">
      <c r="A51" s="4">
        <v>46</v>
      </c>
      <c r="B51" s="5">
        <f t="shared" si="5"/>
        <v>339.80905882343916</v>
      </c>
      <c r="C51" s="20"/>
      <c r="D51" s="20"/>
      <c r="E51" s="20"/>
      <c r="F51" s="20"/>
      <c r="G51" s="20"/>
    </row>
    <row r="52" spans="1:7" x14ac:dyDescent="0.25">
      <c r="A52" s="4">
        <v>47</v>
      </c>
      <c r="B52" s="5">
        <f t="shared" si="5"/>
        <v>345.15345682180606</v>
      </c>
      <c r="C52" s="20"/>
      <c r="D52" s="20"/>
      <c r="E52" s="20"/>
      <c r="F52" s="20"/>
      <c r="G52" s="20"/>
    </row>
    <row r="53" spans="1:7" x14ac:dyDescent="0.25">
      <c r="A53" s="4">
        <v>48</v>
      </c>
      <c r="B53" s="5">
        <f t="shared" si="5"/>
        <v>350.49785482017302</v>
      </c>
      <c r="C53" s="20"/>
      <c r="D53" s="20"/>
      <c r="E53" s="20"/>
      <c r="F53" s="20"/>
      <c r="G53" s="20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  <col min="4" max="4" width="10.875" style="17"/>
    <col min="5" max="15" width="10.875" style="16"/>
  </cols>
  <sheetData>
    <row r="1" spans="1:15" x14ac:dyDescent="0.25">
      <c r="A1" t="s">
        <v>1</v>
      </c>
      <c r="B1" t="s">
        <v>25</v>
      </c>
      <c r="C1" t="s">
        <v>10</v>
      </c>
      <c r="D1" s="17">
        <v>1</v>
      </c>
      <c r="E1" s="17">
        <v>2</v>
      </c>
      <c r="F1" s="17">
        <v>3</v>
      </c>
      <c r="G1" s="17">
        <v>4</v>
      </c>
      <c r="H1" s="17">
        <v>5</v>
      </c>
      <c r="I1" s="17">
        <v>6</v>
      </c>
      <c r="J1" s="17">
        <v>7</v>
      </c>
      <c r="K1" s="17">
        <v>8</v>
      </c>
      <c r="L1" s="17">
        <v>9</v>
      </c>
      <c r="M1" s="17">
        <v>10</v>
      </c>
      <c r="N1" s="17">
        <v>11</v>
      </c>
      <c r="O1" s="17">
        <v>12</v>
      </c>
    </row>
    <row r="2" spans="1:15" x14ac:dyDescent="0.25">
      <c r="A2">
        <v>1</v>
      </c>
      <c r="B2">
        <v>8.2830999999999904</v>
      </c>
      <c r="C2">
        <f t="shared" ref="C2:C37" si="0">B2-B$38</f>
        <v>4.7066939584545793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</row>
    <row r="3" spans="1:15" x14ac:dyDescent="0.25">
      <c r="A3">
        <v>2</v>
      </c>
      <c r="B3">
        <v>7.6968221193019417</v>
      </c>
      <c r="C3">
        <f t="shared" si="0"/>
        <v>4.1204160777565306</v>
      </c>
      <c r="D3" s="17">
        <f>C2</f>
        <v>4.7066939584545793</v>
      </c>
      <c r="E3" s="17">
        <f t="shared" ref="E3:O18" si="1">D2</f>
        <v>0</v>
      </c>
      <c r="F3" s="17">
        <f t="shared" si="1"/>
        <v>0</v>
      </c>
      <c r="G3" s="17">
        <f t="shared" si="1"/>
        <v>0</v>
      </c>
      <c r="H3" s="17">
        <f t="shared" si="1"/>
        <v>0</v>
      </c>
      <c r="I3" s="17">
        <f t="shared" si="1"/>
        <v>0</v>
      </c>
      <c r="J3" s="17">
        <f t="shared" si="1"/>
        <v>0</v>
      </c>
      <c r="K3" s="17">
        <f t="shared" si="1"/>
        <v>0</v>
      </c>
      <c r="L3" s="17">
        <f t="shared" si="1"/>
        <v>0</v>
      </c>
      <c r="M3" s="17">
        <f t="shared" si="1"/>
        <v>0</v>
      </c>
      <c r="N3" s="17">
        <f t="shared" si="1"/>
        <v>0</v>
      </c>
      <c r="O3" s="17">
        <f t="shared" si="1"/>
        <v>0</v>
      </c>
    </row>
    <row r="4" spans="1:15" x14ac:dyDescent="0.25">
      <c r="A4">
        <v>3</v>
      </c>
      <c r="B4">
        <v>-22.772501628217242</v>
      </c>
      <c r="C4">
        <f t="shared" si="0"/>
        <v>-26.348907669762653</v>
      </c>
      <c r="D4" s="17">
        <f t="shared" ref="D4:D37" si="2">C3</f>
        <v>4.1204160777565306</v>
      </c>
      <c r="E4" s="17">
        <f t="shared" si="1"/>
        <v>4.7066939584545793</v>
      </c>
      <c r="F4" s="17">
        <f t="shared" si="1"/>
        <v>0</v>
      </c>
      <c r="G4" s="17">
        <f t="shared" si="1"/>
        <v>0</v>
      </c>
      <c r="H4" s="17">
        <f t="shared" si="1"/>
        <v>0</v>
      </c>
      <c r="I4" s="17">
        <f t="shared" si="1"/>
        <v>0</v>
      </c>
      <c r="J4" s="17">
        <f t="shared" si="1"/>
        <v>0</v>
      </c>
      <c r="K4" s="17">
        <f t="shared" si="1"/>
        <v>0</v>
      </c>
      <c r="L4" s="17">
        <f t="shared" si="1"/>
        <v>0</v>
      </c>
      <c r="M4" s="17">
        <f t="shared" si="1"/>
        <v>0</v>
      </c>
      <c r="N4" s="17">
        <f t="shared" si="1"/>
        <v>0</v>
      </c>
      <c r="O4" s="17">
        <f t="shared" si="1"/>
        <v>0</v>
      </c>
    </row>
    <row r="5" spans="1:15" x14ac:dyDescent="0.25">
      <c r="A5">
        <v>4</v>
      </c>
      <c r="B5">
        <v>-12.362241815638811</v>
      </c>
      <c r="C5">
        <f t="shared" si="0"/>
        <v>-15.938647857184222</v>
      </c>
      <c r="D5" s="17">
        <f t="shared" si="2"/>
        <v>-26.348907669762653</v>
      </c>
      <c r="E5" s="17">
        <f t="shared" si="1"/>
        <v>4.1204160777565306</v>
      </c>
      <c r="F5" s="17">
        <f t="shared" si="1"/>
        <v>4.7066939584545793</v>
      </c>
      <c r="G5" s="17">
        <f t="shared" si="1"/>
        <v>0</v>
      </c>
      <c r="H5" s="17">
        <f t="shared" si="1"/>
        <v>0</v>
      </c>
      <c r="I5" s="17">
        <f t="shared" si="1"/>
        <v>0</v>
      </c>
      <c r="J5" s="17">
        <f t="shared" si="1"/>
        <v>0</v>
      </c>
      <c r="K5" s="17">
        <f t="shared" si="1"/>
        <v>0</v>
      </c>
      <c r="L5" s="17">
        <f t="shared" si="1"/>
        <v>0</v>
      </c>
      <c r="M5" s="17">
        <f t="shared" si="1"/>
        <v>0</v>
      </c>
      <c r="N5" s="17">
        <f t="shared" si="1"/>
        <v>0</v>
      </c>
      <c r="O5" s="17">
        <f t="shared" si="1"/>
        <v>0</v>
      </c>
    </row>
    <row r="6" spans="1:15" x14ac:dyDescent="0.25">
      <c r="A6">
        <v>5</v>
      </c>
      <c r="B6">
        <v>16.619411451549468</v>
      </c>
      <c r="C6">
        <f t="shared" si="0"/>
        <v>13.043005410004056</v>
      </c>
      <c r="D6" s="17">
        <f t="shared" si="2"/>
        <v>-15.938647857184222</v>
      </c>
      <c r="E6" s="17">
        <f t="shared" si="1"/>
        <v>-26.348907669762653</v>
      </c>
      <c r="F6" s="17">
        <f t="shared" si="1"/>
        <v>4.1204160777565306</v>
      </c>
      <c r="G6" s="17">
        <f t="shared" si="1"/>
        <v>4.7066939584545793</v>
      </c>
      <c r="H6" s="17">
        <f t="shared" si="1"/>
        <v>0</v>
      </c>
      <c r="I6" s="17">
        <f t="shared" si="1"/>
        <v>0</v>
      </c>
      <c r="J6" s="17">
        <f t="shared" si="1"/>
        <v>0</v>
      </c>
      <c r="K6" s="17">
        <f t="shared" si="1"/>
        <v>0</v>
      </c>
      <c r="L6" s="17">
        <f t="shared" si="1"/>
        <v>0</v>
      </c>
      <c r="M6" s="17">
        <f t="shared" si="1"/>
        <v>0</v>
      </c>
      <c r="N6" s="17">
        <f t="shared" si="1"/>
        <v>0</v>
      </c>
      <c r="O6" s="17">
        <f t="shared" si="1"/>
        <v>0</v>
      </c>
    </row>
    <row r="7" spans="1:15" x14ac:dyDescent="0.25">
      <c r="A7">
        <v>6</v>
      </c>
      <c r="B7">
        <v>0.9174211134621828</v>
      </c>
      <c r="C7">
        <f t="shared" si="0"/>
        <v>-2.6589849280832283</v>
      </c>
      <c r="D7" s="17">
        <f t="shared" si="2"/>
        <v>13.043005410004056</v>
      </c>
      <c r="E7" s="17">
        <f t="shared" si="1"/>
        <v>-15.938647857184222</v>
      </c>
      <c r="F7" s="17">
        <f t="shared" si="1"/>
        <v>-26.348907669762653</v>
      </c>
      <c r="G7" s="17">
        <f t="shared" si="1"/>
        <v>4.1204160777565306</v>
      </c>
      <c r="H7" s="17">
        <f t="shared" si="1"/>
        <v>4.7066939584545793</v>
      </c>
      <c r="I7" s="17">
        <f t="shared" si="1"/>
        <v>0</v>
      </c>
      <c r="J7" s="17">
        <f t="shared" si="1"/>
        <v>0</v>
      </c>
      <c r="K7" s="17">
        <f t="shared" si="1"/>
        <v>0</v>
      </c>
      <c r="L7" s="17">
        <f t="shared" si="1"/>
        <v>0</v>
      </c>
      <c r="M7" s="17">
        <f t="shared" si="1"/>
        <v>0</v>
      </c>
      <c r="N7" s="17">
        <f t="shared" si="1"/>
        <v>0</v>
      </c>
      <c r="O7" s="17">
        <f t="shared" si="1"/>
        <v>0</v>
      </c>
    </row>
    <row r="8" spans="1:15" x14ac:dyDescent="0.25">
      <c r="A8">
        <v>7</v>
      </c>
      <c r="B8">
        <v>-8.4675062032074209</v>
      </c>
      <c r="C8">
        <f t="shared" si="0"/>
        <v>-12.043912244752832</v>
      </c>
      <c r="D8" s="17">
        <f t="shared" si="2"/>
        <v>-2.6589849280832283</v>
      </c>
      <c r="E8" s="17">
        <f t="shared" si="1"/>
        <v>13.043005410004056</v>
      </c>
      <c r="F8" s="17">
        <f t="shared" si="1"/>
        <v>-15.938647857184222</v>
      </c>
      <c r="G8" s="17">
        <f t="shared" si="1"/>
        <v>-26.348907669762653</v>
      </c>
      <c r="H8" s="17">
        <f t="shared" si="1"/>
        <v>4.1204160777565306</v>
      </c>
      <c r="I8" s="17">
        <f t="shared" si="1"/>
        <v>4.7066939584545793</v>
      </c>
      <c r="J8" s="17">
        <f t="shared" si="1"/>
        <v>0</v>
      </c>
      <c r="K8" s="17">
        <f t="shared" si="1"/>
        <v>0</v>
      </c>
      <c r="L8" s="17">
        <f t="shared" si="1"/>
        <v>0</v>
      </c>
      <c r="M8" s="17">
        <f t="shared" si="1"/>
        <v>0</v>
      </c>
      <c r="N8" s="17">
        <f t="shared" si="1"/>
        <v>0</v>
      </c>
      <c r="O8" s="17">
        <f t="shared" si="1"/>
        <v>0</v>
      </c>
    </row>
    <row r="9" spans="1:15" x14ac:dyDescent="0.25">
      <c r="A9">
        <v>8</v>
      </c>
      <c r="B9">
        <v>-5.3703853201602101</v>
      </c>
      <c r="C9">
        <f t="shared" si="0"/>
        <v>-8.9467913617056212</v>
      </c>
      <c r="D9" s="17">
        <f t="shared" si="2"/>
        <v>-12.043912244752832</v>
      </c>
      <c r="E9" s="17">
        <f t="shared" si="1"/>
        <v>-2.6589849280832283</v>
      </c>
      <c r="F9" s="17">
        <f t="shared" si="1"/>
        <v>13.043005410004056</v>
      </c>
      <c r="G9" s="17">
        <f t="shared" si="1"/>
        <v>-15.938647857184222</v>
      </c>
      <c r="H9" s="17">
        <f t="shared" si="1"/>
        <v>-26.348907669762653</v>
      </c>
      <c r="I9" s="17">
        <f t="shared" si="1"/>
        <v>4.1204160777565306</v>
      </c>
      <c r="J9" s="17">
        <f t="shared" si="1"/>
        <v>4.7066939584545793</v>
      </c>
      <c r="K9" s="17">
        <f t="shared" si="1"/>
        <v>0</v>
      </c>
      <c r="L9" s="17">
        <f t="shared" si="1"/>
        <v>0</v>
      </c>
      <c r="M9" s="17">
        <f t="shared" si="1"/>
        <v>0</v>
      </c>
      <c r="N9" s="17">
        <f t="shared" si="1"/>
        <v>0</v>
      </c>
      <c r="O9" s="17">
        <f t="shared" si="1"/>
        <v>0</v>
      </c>
    </row>
    <row r="10" spans="1:15" x14ac:dyDescent="0.25">
      <c r="A10">
        <v>9</v>
      </c>
      <c r="B10">
        <v>6.8734375680267874</v>
      </c>
      <c r="C10">
        <f t="shared" si="0"/>
        <v>3.2970315264813763</v>
      </c>
      <c r="D10" s="17">
        <f t="shared" si="2"/>
        <v>-8.9467913617056212</v>
      </c>
      <c r="E10" s="17">
        <f t="shared" si="1"/>
        <v>-12.043912244752832</v>
      </c>
      <c r="F10" s="17">
        <f t="shared" si="1"/>
        <v>-2.6589849280832283</v>
      </c>
      <c r="G10" s="17">
        <f t="shared" si="1"/>
        <v>13.043005410004056</v>
      </c>
      <c r="H10" s="17">
        <f t="shared" si="1"/>
        <v>-15.938647857184222</v>
      </c>
      <c r="I10" s="17">
        <f t="shared" si="1"/>
        <v>-26.348907669762653</v>
      </c>
      <c r="J10" s="17">
        <f t="shared" si="1"/>
        <v>4.1204160777565306</v>
      </c>
      <c r="K10" s="17">
        <f t="shared" si="1"/>
        <v>4.7066939584545793</v>
      </c>
      <c r="L10" s="17">
        <f t="shared" si="1"/>
        <v>0</v>
      </c>
      <c r="M10" s="17">
        <f t="shared" si="1"/>
        <v>0</v>
      </c>
      <c r="N10" s="17">
        <f t="shared" si="1"/>
        <v>0</v>
      </c>
      <c r="O10" s="17">
        <f t="shared" si="1"/>
        <v>0</v>
      </c>
    </row>
    <row r="11" spans="1:15" x14ac:dyDescent="0.25">
      <c r="A11">
        <v>10</v>
      </c>
      <c r="B11">
        <v>11.806721742125603</v>
      </c>
      <c r="C11">
        <f t="shared" si="0"/>
        <v>8.2303157005801921</v>
      </c>
      <c r="D11" s="17">
        <f t="shared" si="2"/>
        <v>3.2970315264813763</v>
      </c>
      <c r="E11" s="17">
        <f t="shared" si="1"/>
        <v>-8.9467913617056212</v>
      </c>
      <c r="F11" s="17">
        <f t="shared" si="1"/>
        <v>-12.043912244752832</v>
      </c>
      <c r="G11" s="17">
        <f t="shared" si="1"/>
        <v>-2.6589849280832283</v>
      </c>
      <c r="H11" s="17">
        <f t="shared" si="1"/>
        <v>13.043005410004056</v>
      </c>
      <c r="I11" s="17">
        <f t="shared" si="1"/>
        <v>-15.938647857184222</v>
      </c>
      <c r="J11" s="17">
        <f t="shared" si="1"/>
        <v>-26.348907669762653</v>
      </c>
      <c r="K11" s="17">
        <f t="shared" si="1"/>
        <v>4.1204160777565306</v>
      </c>
      <c r="L11" s="17">
        <f t="shared" si="1"/>
        <v>4.7066939584545793</v>
      </c>
      <c r="M11" s="17">
        <f t="shared" si="1"/>
        <v>0</v>
      </c>
      <c r="N11" s="17">
        <f t="shared" si="1"/>
        <v>0</v>
      </c>
      <c r="O11" s="17">
        <f t="shared" si="1"/>
        <v>0</v>
      </c>
    </row>
    <row r="12" spans="1:15" x14ac:dyDescent="0.25">
      <c r="A12">
        <v>11</v>
      </c>
      <c r="B12">
        <v>7.0751314606999074</v>
      </c>
      <c r="C12">
        <f t="shared" si="0"/>
        <v>3.4987254191544963</v>
      </c>
      <c r="D12" s="17">
        <f t="shared" si="2"/>
        <v>8.2303157005801921</v>
      </c>
      <c r="E12" s="17">
        <f t="shared" si="1"/>
        <v>3.2970315264813763</v>
      </c>
      <c r="F12" s="17">
        <f t="shared" si="1"/>
        <v>-8.9467913617056212</v>
      </c>
      <c r="G12" s="17">
        <f t="shared" si="1"/>
        <v>-12.043912244752832</v>
      </c>
      <c r="H12" s="17">
        <f t="shared" si="1"/>
        <v>-2.6589849280832283</v>
      </c>
      <c r="I12" s="17">
        <f t="shared" si="1"/>
        <v>13.043005410004056</v>
      </c>
      <c r="J12" s="17">
        <f t="shared" si="1"/>
        <v>-15.938647857184222</v>
      </c>
      <c r="K12" s="17">
        <f t="shared" si="1"/>
        <v>-26.348907669762653</v>
      </c>
      <c r="L12" s="17">
        <f t="shared" si="1"/>
        <v>4.1204160777565306</v>
      </c>
      <c r="M12" s="17">
        <f t="shared" si="1"/>
        <v>4.7066939584545793</v>
      </c>
      <c r="N12" s="17">
        <f t="shared" si="1"/>
        <v>0</v>
      </c>
      <c r="O12" s="17">
        <f t="shared" si="1"/>
        <v>0</v>
      </c>
    </row>
    <row r="13" spans="1:15" x14ac:dyDescent="0.25">
      <c r="A13">
        <v>12</v>
      </c>
      <c r="B13">
        <v>31.214435668301519</v>
      </c>
      <c r="C13">
        <f t="shared" si="0"/>
        <v>27.638029626756108</v>
      </c>
      <c r="D13" s="17">
        <f t="shared" si="2"/>
        <v>3.4987254191544963</v>
      </c>
      <c r="E13" s="17">
        <f t="shared" si="1"/>
        <v>8.2303157005801921</v>
      </c>
      <c r="F13" s="17">
        <f t="shared" si="1"/>
        <v>3.2970315264813763</v>
      </c>
      <c r="G13" s="17">
        <f t="shared" si="1"/>
        <v>-8.9467913617056212</v>
      </c>
      <c r="H13" s="17">
        <f t="shared" si="1"/>
        <v>-12.043912244752832</v>
      </c>
      <c r="I13" s="17">
        <f t="shared" si="1"/>
        <v>-2.6589849280832283</v>
      </c>
      <c r="J13" s="17">
        <f t="shared" si="1"/>
        <v>13.043005410004056</v>
      </c>
      <c r="K13" s="17">
        <f t="shared" si="1"/>
        <v>-15.938647857184222</v>
      </c>
      <c r="L13" s="17">
        <f t="shared" si="1"/>
        <v>-26.348907669762653</v>
      </c>
      <c r="M13" s="17">
        <f t="shared" si="1"/>
        <v>4.1204160777565306</v>
      </c>
      <c r="N13" s="17">
        <f t="shared" si="1"/>
        <v>4.7066939584545793</v>
      </c>
      <c r="O13" s="17">
        <f t="shared" si="1"/>
        <v>0</v>
      </c>
    </row>
    <row r="14" spans="1:15" x14ac:dyDescent="0.25">
      <c r="A14">
        <v>13</v>
      </c>
      <c r="B14">
        <v>-25.649275533957109</v>
      </c>
      <c r="C14">
        <f t="shared" si="0"/>
        <v>-29.22568157550252</v>
      </c>
      <c r="D14" s="17">
        <f t="shared" si="2"/>
        <v>27.638029626756108</v>
      </c>
      <c r="E14" s="17">
        <f t="shared" si="1"/>
        <v>3.4987254191544963</v>
      </c>
      <c r="F14" s="17">
        <f t="shared" si="1"/>
        <v>8.2303157005801921</v>
      </c>
      <c r="G14" s="17">
        <f t="shared" si="1"/>
        <v>3.2970315264813763</v>
      </c>
      <c r="H14" s="17">
        <f t="shared" si="1"/>
        <v>-8.9467913617056212</v>
      </c>
      <c r="I14" s="17">
        <f t="shared" si="1"/>
        <v>-12.043912244752832</v>
      </c>
      <c r="J14" s="17">
        <f t="shared" si="1"/>
        <v>-2.6589849280832283</v>
      </c>
      <c r="K14" s="17">
        <f t="shared" si="1"/>
        <v>13.043005410004056</v>
      </c>
      <c r="L14" s="17">
        <f t="shared" si="1"/>
        <v>-15.938647857184222</v>
      </c>
      <c r="M14" s="17">
        <f t="shared" si="1"/>
        <v>-26.348907669762653</v>
      </c>
      <c r="N14" s="17">
        <f t="shared" si="1"/>
        <v>4.1204160777565306</v>
      </c>
      <c r="O14" s="17">
        <f t="shared" si="1"/>
        <v>4.7066939584545793</v>
      </c>
    </row>
    <row r="15" spans="1:15" x14ac:dyDescent="0.25">
      <c r="A15">
        <v>14</v>
      </c>
      <c r="B15">
        <v>-13.136148753801677</v>
      </c>
      <c r="C15">
        <f t="shared" si="0"/>
        <v>-16.712554795347089</v>
      </c>
      <c r="D15" s="17">
        <f t="shared" si="2"/>
        <v>-29.22568157550252</v>
      </c>
      <c r="E15" s="17">
        <f t="shared" si="1"/>
        <v>27.638029626756108</v>
      </c>
      <c r="F15" s="17">
        <f t="shared" si="1"/>
        <v>3.4987254191544963</v>
      </c>
      <c r="G15" s="17">
        <f t="shared" si="1"/>
        <v>8.2303157005801921</v>
      </c>
      <c r="H15" s="17">
        <f t="shared" si="1"/>
        <v>3.2970315264813763</v>
      </c>
      <c r="I15" s="17">
        <f t="shared" si="1"/>
        <v>-8.9467913617056212</v>
      </c>
      <c r="J15" s="17">
        <f t="shared" si="1"/>
        <v>-12.043912244752832</v>
      </c>
      <c r="K15" s="17">
        <f t="shared" si="1"/>
        <v>-2.6589849280832283</v>
      </c>
      <c r="L15" s="17">
        <f t="shared" si="1"/>
        <v>13.043005410004056</v>
      </c>
      <c r="M15" s="17">
        <f t="shared" si="1"/>
        <v>-15.938647857184222</v>
      </c>
      <c r="N15" s="17">
        <f t="shared" si="1"/>
        <v>-26.348907669762653</v>
      </c>
      <c r="O15" s="17">
        <f t="shared" si="1"/>
        <v>4.1204160777565306</v>
      </c>
    </row>
    <row r="16" spans="1:15" x14ac:dyDescent="0.25">
      <c r="A16">
        <v>15</v>
      </c>
      <c r="B16">
        <v>-9.410534019324416</v>
      </c>
      <c r="C16">
        <f t="shared" si="0"/>
        <v>-12.986940060869827</v>
      </c>
      <c r="D16" s="17">
        <f t="shared" si="2"/>
        <v>-16.712554795347089</v>
      </c>
      <c r="E16" s="17">
        <f t="shared" si="1"/>
        <v>-29.22568157550252</v>
      </c>
      <c r="F16" s="17">
        <f t="shared" si="1"/>
        <v>27.638029626756108</v>
      </c>
      <c r="G16" s="17">
        <f t="shared" si="1"/>
        <v>3.4987254191544963</v>
      </c>
      <c r="H16" s="17">
        <f t="shared" si="1"/>
        <v>8.2303157005801921</v>
      </c>
      <c r="I16" s="17">
        <f t="shared" si="1"/>
        <v>3.2970315264813763</v>
      </c>
      <c r="J16" s="17">
        <f t="shared" si="1"/>
        <v>-8.9467913617056212</v>
      </c>
      <c r="K16" s="17">
        <f t="shared" si="1"/>
        <v>-12.043912244752832</v>
      </c>
      <c r="L16" s="17">
        <f t="shared" si="1"/>
        <v>-2.6589849280832283</v>
      </c>
      <c r="M16" s="17">
        <f t="shared" si="1"/>
        <v>13.043005410004056</v>
      </c>
      <c r="N16" s="17">
        <f t="shared" si="1"/>
        <v>-15.938647857184222</v>
      </c>
      <c r="O16" s="17">
        <f t="shared" si="1"/>
        <v>-26.348907669762653</v>
      </c>
    </row>
    <row r="17" spans="1:15" x14ac:dyDescent="0.25">
      <c r="A17">
        <v>16</v>
      </c>
      <c r="B17">
        <v>-18.811014128196746</v>
      </c>
      <c r="C17">
        <f t="shared" si="0"/>
        <v>-22.387420169742157</v>
      </c>
      <c r="D17" s="17">
        <f t="shared" si="2"/>
        <v>-12.986940060869827</v>
      </c>
      <c r="E17" s="17">
        <f t="shared" si="1"/>
        <v>-16.712554795347089</v>
      </c>
      <c r="F17" s="17">
        <f t="shared" si="1"/>
        <v>-29.22568157550252</v>
      </c>
      <c r="G17" s="17">
        <f t="shared" si="1"/>
        <v>27.638029626756108</v>
      </c>
      <c r="H17" s="17">
        <f t="shared" si="1"/>
        <v>3.4987254191544963</v>
      </c>
      <c r="I17" s="17">
        <f t="shared" si="1"/>
        <v>8.2303157005801921</v>
      </c>
      <c r="J17" s="17">
        <f t="shared" si="1"/>
        <v>3.2970315264813763</v>
      </c>
      <c r="K17" s="17">
        <f t="shared" si="1"/>
        <v>-8.9467913617056212</v>
      </c>
      <c r="L17" s="17">
        <f t="shared" si="1"/>
        <v>-12.043912244752832</v>
      </c>
      <c r="M17" s="17">
        <f t="shared" si="1"/>
        <v>-2.6589849280832283</v>
      </c>
      <c r="N17" s="17">
        <f t="shared" si="1"/>
        <v>13.043005410004056</v>
      </c>
      <c r="O17" s="17">
        <f t="shared" si="1"/>
        <v>-15.938647857184222</v>
      </c>
    </row>
    <row r="18" spans="1:15" x14ac:dyDescent="0.25">
      <c r="A18">
        <v>17</v>
      </c>
      <c r="B18">
        <v>34.642925457800828</v>
      </c>
      <c r="C18">
        <f t="shared" si="0"/>
        <v>31.066519416255417</v>
      </c>
      <c r="D18" s="17">
        <f t="shared" si="2"/>
        <v>-22.387420169742157</v>
      </c>
      <c r="E18" s="17">
        <f t="shared" si="1"/>
        <v>-12.986940060869827</v>
      </c>
      <c r="F18" s="17">
        <f t="shared" si="1"/>
        <v>-16.712554795347089</v>
      </c>
      <c r="G18" s="17">
        <f t="shared" si="1"/>
        <v>-29.22568157550252</v>
      </c>
      <c r="H18" s="17">
        <f t="shared" si="1"/>
        <v>27.638029626756108</v>
      </c>
      <c r="I18" s="17">
        <f t="shared" si="1"/>
        <v>3.4987254191544963</v>
      </c>
      <c r="J18" s="17">
        <f t="shared" si="1"/>
        <v>8.2303157005801921</v>
      </c>
      <c r="K18" s="17">
        <f t="shared" si="1"/>
        <v>3.2970315264813763</v>
      </c>
      <c r="L18" s="17">
        <f t="shared" si="1"/>
        <v>-8.9467913617056212</v>
      </c>
      <c r="M18" s="17">
        <f t="shared" si="1"/>
        <v>-12.043912244752832</v>
      </c>
      <c r="N18" s="17">
        <f t="shared" si="1"/>
        <v>-2.6589849280832283</v>
      </c>
      <c r="O18" s="17">
        <f t="shared" si="1"/>
        <v>13.043005410004056</v>
      </c>
    </row>
    <row r="19" spans="1:15" x14ac:dyDescent="0.25">
      <c r="A19">
        <v>18</v>
      </c>
      <c r="B19">
        <v>-16.347455398623936</v>
      </c>
      <c r="C19">
        <f t="shared" si="0"/>
        <v>-19.923861440169347</v>
      </c>
      <c r="D19" s="17">
        <f t="shared" si="2"/>
        <v>31.066519416255417</v>
      </c>
      <c r="E19" s="17">
        <f t="shared" ref="E19:O34" si="3">D18</f>
        <v>-22.387420169742157</v>
      </c>
      <c r="F19" s="17">
        <f t="shared" si="3"/>
        <v>-12.986940060869827</v>
      </c>
      <c r="G19" s="17">
        <f t="shared" si="3"/>
        <v>-16.712554795347089</v>
      </c>
      <c r="H19" s="17">
        <f t="shared" si="3"/>
        <v>-29.22568157550252</v>
      </c>
      <c r="I19" s="17">
        <f t="shared" si="3"/>
        <v>27.638029626756108</v>
      </c>
      <c r="J19" s="17">
        <f t="shared" si="3"/>
        <v>3.4987254191544963</v>
      </c>
      <c r="K19" s="17">
        <f t="shared" si="3"/>
        <v>8.2303157005801921</v>
      </c>
      <c r="L19" s="17">
        <f t="shared" si="3"/>
        <v>3.2970315264813763</v>
      </c>
      <c r="M19" s="17">
        <f t="shared" si="3"/>
        <v>-8.9467913617056212</v>
      </c>
      <c r="N19" s="17">
        <f t="shared" si="3"/>
        <v>-12.043912244752832</v>
      </c>
      <c r="O19" s="17">
        <f t="shared" si="3"/>
        <v>-2.6589849280832283</v>
      </c>
    </row>
    <row r="20" spans="1:15" x14ac:dyDescent="0.25">
      <c r="A20">
        <v>19</v>
      </c>
      <c r="B20">
        <v>-5.1577618783316836</v>
      </c>
      <c r="C20">
        <f t="shared" si="0"/>
        <v>-8.7341679198770947</v>
      </c>
      <c r="D20" s="17">
        <f t="shared" si="2"/>
        <v>-19.923861440169347</v>
      </c>
      <c r="E20" s="17">
        <f t="shared" si="3"/>
        <v>31.066519416255417</v>
      </c>
      <c r="F20" s="17">
        <f t="shared" si="3"/>
        <v>-22.387420169742157</v>
      </c>
      <c r="G20" s="17">
        <f t="shared" si="3"/>
        <v>-12.986940060869827</v>
      </c>
      <c r="H20" s="17">
        <f t="shared" si="3"/>
        <v>-16.712554795347089</v>
      </c>
      <c r="I20" s="17">
        <f t="shared" si="3"/>
        <v>-29.22568157550252</v>
      </c>
      <c r="J20" s="17">
        <f t="shared" si="3"/>
        <v>27.638029626756108</v>
      </c>
      <c r="K20" s="17">
        <f t="shared" si="3"/>
        <v>3.4987254191544963</v>
      </c>
      <c r="L20" s="17">
        <f t="shared" si="3"/>
        <v>8.2303157005801921</v>
      </c>
      <c r="M20" s="17">
        <f t="shared" si="3"/>
        <v>3.2970315264813763</v>
      </c>
      <c r="N20" s="17">
        <f t="shared" si="3"/>
        <v>-8.9467913617056212</v>
      </c>
      <c r="O20" s="17">
        <f t="shared" si="3"/>
        <v>-12.043912244752832</v>
      </c>
    </row>
    <row r="21" spans="1:15" x14ac:dyDescent="0.25">
      <c r="A21">
        <v>20</v>
      </c>
      <c r="B21">
        <v>4.8373753908315678</v>
      </c>
      <c r="C21">
        <f t="shared" si="0"/>
        <v>1.2609693492861567</v>
      </c>
      <c r="D21" s="17">
        <f t="shared" si="2"/>
        <v>-8.7341679198770947</v>
      </c>
      <c r="E21" s="17">
        <f t="shared" si="3"/>
        <v>-19.923861440169347</v>
      </c>
      <c r="F21" s="17">
        <f t="shared" si="3"/>
        <v>31.066519416255417</v>
      </c>
      <c r="G21" s="17">
        <f t="shared" si="3"/>
        <v>-22.387420169742157</v>
      </c>
      <c r="H21" s="17">
        <f t="shared" si="3"/>
        <v>-12.986940060869827</v>
      </c>
      <c r="I21" s="17">
        <f t="shared" si="3"/>
        <v>-16.712554795347089</v>
      </c>
      <c r="J21" s="17">
        <f t="shared" si="3"/>
        <v>-29.22568157550252</v>
      </c>
      <c r="K21" s="17">
        <f t="shared" si="3"/>
        <v>27.638029626756108</v>
      </c>
      <c r="L21" s="17">
        <f t="shared" si="3"/>
        <v>3.4987254191544963</v>
      </c>
      <c r="M21" s="17">
        <f t="shared" si="3"/>
        <v>8.2303157005801921</v>
      </c>
      <c r="N21" s="17">
        <f t="shared" si="3"/>
        <v>3.2970315264813763</v>
      </c>
      <c r="O21" s="17">
        <f t="shared" si="3"/>
        <v>-8.9467913617056212</v>
      </c>
    </row>
    <row r="22" spans="1:15" x14ac:dyDescent="0.25">
      <c r="A22">
        <v>21</v>
      </c>
      <c r="B22">
        <v>17.075364023394798</v>
      </c>
      <c r="C22">
        <f t="shared" si="0"/>
        <v>13.498957981849387</v>
      </c>
      <c r="D22" s="17">
        <f t="shared" si="2"/>
        <v>1.2609693492861567</v>
      </c>
      <c r="E22" s="17">
        <f t="shared" si="3"/>
        <v>-8.7341679198770947</v>
      </c>
      <c r="F22" s="17">
        <f t="shared" si="3"/>
        <v>-19.923861440169347</v>
      </c>
      <c r="G22" s="17">
        <f t="shared" si="3"/>
        <v>31.066519416255417</v>
      </c>
      <c r="H22" s="17">
        <f t="shared" si="3"/>
        <v>-22.387420169742157</v>
      </c>
      <c r="I22" s="17">
        <f t="shared" si="3"/>
        <v>-12.986940060869827</v>
      </c>
      <c r="J22" s="17">
        <f t="shared" si="3"/>
        <v>-16.712554795347089</v>
      </c>
      <c r="K22" s="17">
        <f t="shared" si="3"/>
        <v>-29.22568157550252</v>
      </c>
      <c r="L22" s="17">
        <f t="shared" si="3"/>
        <v>27.638029626756108</v>
      </c>
      <c r="M22" s="17">
        <f t="shared" si="3"/>
        <v>3.4987254191544963</v>
      </c>
      <c r="N22" s="17">
        <f t="shared" si="3"/>
        <v>8.2303157005801921</v>
      </c>
      <c r="O22" s="17">
        <f t="shared" si="3"/>
        <v>3.2970315264813763</v>
      </c>
    </row>
    <row r="23" spans="1:15" x14ac:dyDescent="0.25">
      <c r="A23">
        <v>22</v>
      </c>
      <c r="B23">
        <v>7.6494953405228046</v>
      </c>
      <c r="C23">
        <f t="shared" si="0"/>
        <v>4.0730892989773935</v>
      </c>
      <c r="D23" s="17">
        <f t="shared" si="2"/>
        <v>13.498957981849387</v>
      </c>
      <c r="E23" s="17">
        <f t="shared" si="3"/>
        <v>1.2609693492861567</v>
      </c>
      <c r="F23" s="17">
        <f t="shared" si="3"/>
        <v>-8.7341679198770947</v>
      </c>
      <c r="G23" s="17">
        <f t="shared" si="3"/>
        <v>-19.923861440169347</v>
      </c>
      <c r="H23" s="17">
        <f t="shared" si="3"/>
        <v>31.066519416255417</v>
      </c>
      <c r="I23" s="17">
        <f t="shared" si="3"/>
        <v>-22.387420169742157</v>
      </c>
      <c r="J23" s="17">
        <f t="shared" si="3"/>
        <v>-12.986940060869827</v>
      </c>
      <c r="K23" s="17">
        <f t="shared" si="3"/>
        <v>-16.712554795347089</v>
      </c>
      <c r="L23" s="17">
        <f t="shared" si="3"/>
        <v>-29.22568157550252</v>
      </c>
      <c r="M23" s="17">
        <f t="shared" si="3"/>
        <v>27.638029626756108</v>
      </c>
      <c r="N23" s="17">
        <f t="shared" si="3"/>
        <v>3.4987254191544963</v>
      </c>
      <c r="O23" s="17">
        <f t="shared" si="3"/>
        <v>8.2303157005801921</v>
      </c>
    </row>
    <row r="24" spans="1:15" x14ac:dyDescent="0.25">
      <c r="A24">
        <v>23</v>
      </c>
      <c r="B24">
        <v>13.168411753736905</v>
      </c>
      <c r="C24">
        <f t="shared" si="0"/>
        <v>9.5920057121914937</v>
      </c>
      <c r="D24" s="17">
        <f t="shared" si="2"/>
        <v>4.0730892989773935</v>
      </c>
      <c r="E24" s="17">
        <f t="shared" si="3"/>
        <v>13.498957981849387</v>
      </c>
      <c r="F24" s="17">
        <f t="shared" si="3"/>
        <v>1.2609693492861567</v>
      </c>
      <c r="G24" s="17">
        <f t="shared" si="3"/>
        <v>-8.7341679198770947</v>
      </c>
      <c r="H24" s="17">
        <f t="shared" si="3"/>
        <v>-19.923861440169347</v>
      </c>
      <c r="I24" s="17">
        <f t="shared" si="3"/>
        <v>31.066519416255417</v>
      </c>
      <c r="J24" s="17">
        <f t="shared" si="3"/>
        <v>-22.387420169742157</v>
      </c>
      <c r="K24" s="17">
        <f t="shared" si="3"/>
        <v>-12.986940060869827</v>
      </c>
      <c r="L24" s="17">
        <f t="shared" si="3"/>
        <v>-16.712554795347089</v>
      </c>
      <c r="M24" s="17">
        <f t="shared" si="3"/>
        <v>-29.22568157550252</v>
      </c>
      <c r="N24" s="17">
        <f t="shared" si="3"/>
        <v>27.638029626756108</v>
      </c>
      <c r="O24" s="17">
        <f t="shared" si="3"/>
        <v>3.4987254191544963</v>
      </c>
    </row>
    <row r="25" spans="1:15" x14ac:dyDescent="0.25">
      <c r="A25">
        <v>24</v>
      </c>
      <c r="B25">
        <v>31.588791482139584</v>
      </c>
      <c r="C25">
        <f t="shared" si="0"/>
        <v>28.012385440594173</v>
      </c>
      <c r="D25" s="17">
        <f t="shared" si="2"/>
        <v>9.5920057121914937</v>
      </c>
      <c r="E25" s="17">
        <f t="shared" si="3"/>
        <v>4.0730892989773935</v>
      </c>
      <c r="F25" s="17">
        <f t="shared" si="3"/>
        <v>13.498957981849387</v>
      </c>
      <c r="G25" s="17">
        <f t="shared" si="3"/>
        <v>1.2609693492861567</v>
      </c>
      <c r="H25" s="17">
        <f t="shared" si="3"/>
        <v>-8.7341679198770947</v>
      </c>
      <c r="I25" s="17">
        <f t="shared" si="3"/>
        <v>-19.923861440169347</v>
      </c>
      <c r="J25" s="17">
        <f t="shared" si="3"/>
        <v>31.066519416255417</v>
      </c>
      <c r="K25" s="17">
        <f t="shared" si="3"/>
        <v>-22.387420169742157</v>
      </c>
      <c r="L25" s="17">
        <f t="shared" si="3"/>
        <v>-12.986940060869827</v>
      </c>
      <c r="M25" s="17">
        <f t="shared" si="3"/>
        <v>-16.712554795347089</v>
      </c>
      <c r="N25" s="17">
        <f t="shared" si="3"/>
        <v>-29.22568157550252</v>
      </c>
      <c r="O25" s="17">
        <f t="shared" si="3"/>
        <v>27.638029626756108</v>
      </c>
    </row>
    <row r="26" spans="1:15" x14ac:dyDescent="0.25">
      <c r="A26">
        <v>25</v>
      </c>
      <c r="B26">
        <v>-32.237607213064877</v>
      </c>
      <c r="C26">
        <f t="shared" si="0"/>
        <v>-35.814013254610288</v>
      </c>
      <c r="D26" s="17">
        <f t="shared" si="2"/>
        <v>28.012385440594173</v>
      </c>
      <c r="E26" s="17">
        <f t="shared" si="3"/>
        <v>9.5920057121914937</v>
      </c>
      <c r="F26" s="17">
        <f t="shared" si="3"/>
        <v>4.0730892989773935</v>
      </c>
      <c r="G26" s="17">
        <f t="shared" si="3"/>
        <v>13.498957981849387</v>
      </c>
      <c r="H26" s="17">
        <f t="shared" si="3"/>
        <v>1.2609693492861567</v>
      </c>
      <c r="I26" s="17">
        <f t="shared" si="3"/>
        <v>-8.7341679198770947</v>
      </c>
      <c r="J26" s="17">
        <f t="shared" si="3"/>
        <v>-19.923861440169347</v>
      </c>
      <c r="K26" s="17">
        <f t="shared" si="3"/>
        <v>31.066519416255417</v>
      </c>
      <c r="L26" s="17">
        <f t="shared" si="3"/>
        <v>-22.387420169742157</v>
      </c>
      <c r="M26" s="17">
        <f t="shared" si="3"/>
        <v>-12.986940060869827</v>
      </c>
      <c r="N26" s="17">
        <f t="shared" si="3"/>
        <v>-16.712554795347089</v>
      </c>
      <c r="O26" s="17">
        <f t="shared" si="3"/>
        <v>-29.22568157550252</v>
      </c>
    </row>
    <row r="27" spans="1:15" x14ac:dyDescent="0.25">
      <c r="A27">
        <v>26</v>
      </c>
      <c r="B27">
        <v>16.132593176740698</v>
      </c>
      <c r="C27">
        <f t="shared" si="0"/>
        <v>12.556187135195287</v>
      </c>
      <c r="D27" s="17">
        <f t="shared" si="2"/>
        <v>-35.814013254610288</v>
      </c>
      <c r="E27" s="17">
        <f t="shared" si="3"/>
        <v>28.012385440594173</v>
      </c>
      <c r="F27" s="17">
        <f t="shared" si="3"/>
        <v>9.5920057121914937</v>
      </c>
      <c r="G27" s="17">
        <f t="shared" si="3"/>
        <v>4.0730892989773935</v>
      </c>
      <c r="H27" s="17">
        <f t="shared" si="3"/>
        <v>13.498957981849387</v>
      </c>
      <c r="I27" s="17">
        <f t="shared" si="3"/>
        <v>1.2609693492861567</v>
      </c>
      <c r="J27" s="17">
        <f t="shared" si="3"/>
        <v>-8.7341679198770947</v>
      </c>
      <c r="K27" s="17">
        <f t="shared" si="3"/>
        <v>-19.923861440169347</v>
      </c>
      <c r="L27" s="17">
        <f t="shared" si="3"/>
        <v>31.066519416255417</v>
      </c>
      <c r="M27" s="17">
        <f t="shared" si="3"/>
        <v>-22.387420169742157</v>
      </c>
      <c r="N27" s="17">
        <f t="shared" si="3"/>
        <v>-12.986940060869827</v>
      </c>
      <c r="O27" s="17">
        <f t="shared" si="3"/>
        <v>-16.712554795347089</v>
      </c>
    </row>
    <row r="28" spans="1:15" x14ac:dyDescent="0.25">
      <c r="A28">
        <v>27</v>
      </c>
      <c r="B28">
        <v>-29.942797718952505</v>
      </c>
      <c r="C28">
        <f t="shared" si="0"/>
        <v>-33.519203760497916</v>
      </c>
      <c r="D28" s="17">
        <f t="shared" si="2"/>
        <v>12.556187135195287</v>
      </c>
      <c r="E28" s="17">
        <f t="shared" si="3"/>
        <v>-35.814013254610288</v>
      </c>
      <c r="F28" s="17">
        <f t="shared" si="3"/>
        <v>28.012385440594173</v>
      </c>
      <c r="G28" s="17">
        <f t="shared" si="3"/>
        <v>9.5920057121914937</v>
      </c>
      <c r="H28" s="17">
        <f t="shared" si="3"/>
        <v>4.0730892989773935</v>
      </c>
      <c r="I28" s="17">
        <f t="shared" si="3"/>
        <v>13.498957981849387</v>
      </c>
      <c r="J28" s="17">
        <f t="shared" si="3"/>
        <v>1.2609693492861567</v>
      </c>
      <c r="K28" s="17">
        <f t="shared" si="3"/>
        <v>-8.7341679198770947</v>
      </c>
      <c r="L28" s="17">
        <f t="shared" si="3"/>
        <v>-19.923861440169347</v>
      </c>
      <c r="M28" s="17">
        <f t="shared" si="3"/>
        <v>31.066519416255417</v>
      </c>
      <c r="N28" s="17">
        <f t="shared" si="3"/>
        <v>-22.387420169742157</v>
      </c>
      <c r="O28" s="17">
        <f t="shared" si="3"/>
        <v>-12.986940060869827</v>
      </c>
    </row>
    <row r="29" spans="1:15" x14ac:dyDescent="0.25">
      <c r="A29">
        <v>28</v>
      </c>
      <c r="B29">
        <v>2.3983816249066763</v>
      </c>
      <c r="C29">
        <f t="shared" si="0"/>
        <v>-1.1780244166387348</v>
      </c>
      <c r="D29" s="17">
        <f t="shared" si="2"/>
        <v>-33.519203760497916</v>
      </c>
      <c r="E29" s="17">
        <f t="shared" si="3"/>
        <v>12.556187135195287</v>
      </c>
      <c r="F29" s="17">
        <f t="shared" si="3"/>
        <v>-35.814013254610288</v>
      </c>
      <c r="G29" s="17">
        <f t="shared" si="3"/>
        <v>28.012385440594173</v>
      </c>
      <c r="H29" s="17">
        <f t="shared" si="3"/>
        <v>9.5920057121914937</v>
      </c>
      <c r="I29" s="17">
        <f t="shared" si="3"/>
        <v>4.0730892989773935</v>
      </c>
      <c r="J29" s="17">
        <f t="shared" si="3"/>
        <v>13.498957981849387</v>
      </c>
      <c r="K29" s="17">
        <f t="shared" si="3"/>
        <v>1.2609693492861567</v>
      </c>
      <c r="L29" s="17">
        <f t="shared" si="3"/>
        <v>-8.7341679198770947</v>
      </c>
      <c r="M29" s="17">
        <f t="shared" si="3"/>
        <v>-19.923861440169347</v>
      </c>
      <c r="N29" s="17">
        <f t="shared" si="3"/>
        <v>31.066519416255417</v>
      </c>
      <c r="O29" s="17">
        <f t="shared" si="3"/>
        <v>-22.387420169742157</v>
      </c>
    </row>
    <row r="30" spans="1:15" x14ac:dyDescent="0.25">
      <c r="A30">
        <v>29</v>
      </c>
      <c r="B30">
        <v>10.339524416749185</v>
      </c>
      <c r="C30">
        <f t="shared" si="0"/>
        <v>6.7631183752037742</v>
      </c>
      <c r="D30" s="17">
        <f t="shared" si="2"/>
        <v>-1.1780244166387348</v>
      </c>
      <c r="E30" s="17">
        <f t="shared" si="3"/>
        <v>-33.519203760497916</v>
      </c>
      <c r="F30" s="17">
        <f t="shared" si="3"/>
        <v>12.556187135195287</v>
      </c>
      <c r="G30" s="17">
        <f t="shared" si="3"/>
        <v>-35.814013254610288</v>
      </c>
      <c r="H30" s="17">
        <f t="shared" si="3"/>
        <v>28.012385440594173</v>
      </c>
      <c r="I30" s="17">
        <f t="shared" si="3"/>
        <v>9.5920057121914937</v>
      </c>
      <c r="J30" s="17">
        <f t="shared" si="3"/>
        <v>4.0730892989773935</v>
      </c>
      <c r="K30" s="17">
        <f t="shared" si="3"/>
        <v>13.498957981849387</v>
      </c>
      <c r="L30" s="17">
        <f t="shared" si="3"/>
        <v>1.2609693492861567</v>
      </c>
      <c r="M30" s="17">
        <f t="shared" si="3"/>
        <v>-8.7341679198770947</v>
      </c>
      <c r="N30" s="17">
        <f t="shared" si="3"/>
        <v>-19.923861440169347</v>
      </c>
      <c r="O30" s="17">
        <f t="shared" si="3"/>
        <v>31.066519416255417</v>
      </c>
    </row>
    <row r="31" spans="1:15" x14ac:dyDescent="0.25">
      <c r="A31">
        <v>30</v>
      </c>
      <c r="B31">
        <v>-15.315320997697313</v>
      </c>
      <c r="C31">
        <f t="shared" si="0"/>
        <v>-18.891727039242724</v>
      </c>
      <c r="D31" s="17">
        <f t="shared" si="2"/>
        <v>6.7631183752037742</v>
      </c>
      <c r="E31" s="17">
        <f t="shared" si="3"/>
        <v>-1.1780244166387348</v>
      </c>
      <c r="F31" s="17">
        <f t="shared" si="3"/>
        <v>-33.519203760497916</v>
      </c>
      <c r="G31" s="17">
        <f t="shared" si="3"/>
        <v>12.556187135195287</v>
      </c>
      <c r="H31" s="17">
        <f t="shared" si="3"/>
        <v>-35.814013254610288</v>
      </c>
      <c r="I31" s="17">
        <f t="shared" si="3"/>
        <v>28.012385440594173</v>
      </c>
      <c r="J31" s="17">
        <f t="shared" si="3"/>
        <v>9.5920057121914937</v>
      </c>
      <c r="K31" s="17">
        <f t="shared" si="3"/>
        <v>4.0730892989773935</v>
      </c>
      <c r="L31" s="17">
        <f t="shared" si="3"/>
        <v>13.498957981849387</v>
      </c>
      <c r="M31" s="17">
        <f t="shared" si="3"/>
        <v>1.2609693492861567</v>
      </c>
      <c r="N31" s="17">
        <f t="shared" si="3"/>
        <v>-8.7341679198770947</v>
      </c>
      <c r="O31" s="17">
        <f t="shared" si="3"/>
        <v>-19.923861440169347</v>
      </c>
    </row>
    <row r="32" spans="1:15" x14ac:dyDescent="0.25">
      <c r="A32">
        <v>31</v>
      </c>
      <c r="B32">
        <v>11.47512271463188</v>
      </c>
      <c r="C32">
        <f t="shared" si="0"/>
        <v>7.8987166730864686</v>
      </c>
      <c r="D32" s="17">
        <f t="shared" si="2"/>
        <v>-18.891727039242724</v>
      </c>
      <c r="E32" s="17">
        <f t="shared" si="3"/>
        <v>6.7631183752037742</v>
      </c>
      <c r="F32" s="17">
        <f t="shared" si="3"/>
        <v>-1.1780244166387348</v>
      </c>
      <c r="G32" s="17">
        <f t="shared" si="3"/>
        <v>-33.519203760497916</v>
      </c>
      <c r="H32" s="17">
        <f t="shared" si="3"/>
        <v>12.556187135195287</v>
      </c>
      <c r="I32" s="17">
        <f t="shared" si="3"/>
        <v>-35.814013254610288</v>
      </c>
      <c r="J32" s="17">
        <f t="shared" si="3"/>
        <v>28.012385440594173</v>
      </c>
      <c r="K32" s="17">
        <f t="shared" si="3"/>
        <v>9.5920057121914937</v>
      </c>
      <c r="L32" s="17">
        <f t="shared" si="3"/>
        <v>4.0730892989773935</v>
      </c>
      <c r="M32" s="17">
        <f t="shared" si="3"/>
        <v>13.498957981849387</v>
      </c>
      <c r="N32" s="17">
        <f t="shared" si="3"/>
        <v>1.2609693492861567</v>
      </c>
      <c r="O32" s="17">
        <f t="shared" si="3"/>
        <v>-8.7341679198770947</v>
      </c>
    </row>
    <row r="33" spans="1:15" x14ac:dyDescent="0.25">
      <c r="A33">
        <v>32</v>
      </c>
      <c r="B33">
        <v>-0.7937522328905402</v>
      </c>
      <c r="C33">
        <f t="shared" si="0"/>
        <v>-4.3701582744359513</v>
      </c>
      <c r="D33" s="17">
        <f t="shared" si="2"/>
        <v>7.8987166730864686</v>
      </c>
      <c r="E33" s="17">
        <f t="shared" si="3"/>
        <v>-18.891727039242724</v>
      </c>
      <c r="F33" s="17">
        <f t="shared" si="3"/>
        <v>6.7631183752037742</v>
      </c>
      <c r="G33" s="17">
        <f t="shared" si="3"/>
        <v>-1.1780244166387348</v>
      </c>
      <c r="H33" s="17">
        <f t="shared" si="3"/>
        <v>-33.519203760497916</v>
      </c>
      <c r="I33" s="17">
        <f t="shared" si="3"/>
        <v>12.556187135195287</v>
      </c>
      <c r="J33" s="17">
        <f t="shared" si="3"/>
        <v>-35.814013254610288</v>
      </c>
      <c r="K33" s="17">
        <f t="shared" si="3"/>
        <v>28.012385440594173</v>
      </c>
      <c r="L33" s="17">
        <f t="shared" si="3"/>
        <v>9.5920057121914937</v>
      </c>
      <c r="M33" s="17">
        <f t="shared" si="3"/>
        <v>4.0730892989773935</v>
      </c>
      <c r="N33" s="17">
        <f t="shared" si="3"/>
        <v>13.498957981849387</v>
      </c>
      <c r="O33" s="17">
        <f t="shared" si="3"/>
        <v>1.2609693492861567</v>
      </c>
    </row>
    <row r="34" spans="1:15" x14ac:dyDescent="0.25">
      <c r="A34">
        <v>33</v>
      </c>
      <c r="B34">
        <v>6.0515768311473153</v>
      </c>
      <c r="C34">
        <f t="shared" si="0"/>
        <v>2.4751707896019042</v>
      </c>
      <c r="D34" s="17">
        <f t="shared" si="2"/>
        <v>-4.3701582744359513</v>
      </c>
      <c r="E34" s="17">
        <f t="shared" si="3"/>
        <v>7.8987166730864686</v>
      </c>
      <c r="F34" s="17">
        <f t="shared" si="3"/>
        <v>-18.891727039242724</v>
      </c>
      <c r="G34" s="17">
        <f t="shared" si="3"/>
        <v>6.7631183752037742</v>
      </c>
      <c r="H34" s="17">
        <f t="shared" si="3"/>
        <v>-1.1780244166387348</v>
      </c>
      <c r="I34" s="17">
        <f t="shared" si="3"/>
        <v>-33.519203760497916</v>
      </c>
      <c r="J34" s="17">
        <f t="shared" si="3"/>
        <v>12.556187135195287</v>
      </c>
      <c r="K34" s="17">
        <f t="shared" si="3"/>
        <v>-35.814013254610288</v>
      </c>
      <c r="L34" s="17">
        <f t="shared" si="3"/>
        <v>28.012385440594173</v>
      </c>
      <c r="M34" s="17">
        <f t="shared" si="3"/>
        <v>9.5920057121914937</v>
      </c>
      <c r="N34" s="17">
        <f t="shared" si="3"/>
        <v>4.0730892989773935</v>
      </c>
      <c r="O34" s="17">
        <f t="shared" si="3"/>
        <v>13.498957981849387</v>
      </c>
    </row>
    <row r="35" spans="1:15" x14ac:dyDescent="0.25">
      <c r="A35">
        <v>34</v>
      </c>
      <c r="B35">
        <v>2.1732872287486202</v>
      </c>
      <c r="C35">
        <f t="shared" si="0"/>
        <v>-1.4031188127967908</v>
      </c>
      <c r="D35" s="17">
        <f t="shared" si="2"/>
        <v>2.4751707896019042</v>
      </c>
      <c r="E35" s="17">
        <f t="shared" ref="E35:O37" si="4">D34</f>
        <v>-4.3701582744359513</v>
      </c>
      <c r="F35" s="17">
        <f t="shared" si="4"/>
        <v>7.8987166730864686</v>
      </c>
      <c r="G35" s="17">
        <f t="shared" si="4"/>
        <v>-18.891727039242724</v>
      </c>
      <c r="H35" s="17">
        <f t="shared" si="4"/>
        <v>6.7631183752037742</v>
      </c>
      <c r="I35" s="17">
        <f t="shared" si="4"/>
        <v>-1.1780244166387348</v>
      </c>
      <c r="J35" s="17">
        <f t="shared" si="4"/>
        <v>-33.519203760497916</v>
      </c>
      <c r="K35" s="17">
        <f t="shared" si="4"/>
        <v>12.556187135195287</v>
      </c>
      <c r="L35" s="17">
        <f t="shared" si="4"/>
        <v>-35.814013254610288</v>
      </c>
      <c r="M35" s="17">
        <f t="shared" si="4"/>
        <v>28.012385440594173</v>
      </c>
      <c r="N35" s="17">
        <f t="shared" si="4"/>
        <v>9.5920057121914937</v>
      </c>
      <c r="O35" s="17">
        <f t="shared" si="4"/>
        <v>4.0730892989773935</v>
      </c>
    </row>
    <row r="36" spans="1:15" x14ac:dyDescent="0.25">
      <c r="A36">
        <v>35</v>
      </c>
      <c r="B36">
        <v>44.775092589634028</v>
      </c>
      <c r="C36">
        <f t="shared" si="0"/>
        <v>41.198686548088617</v>
      </c>
      <c r="D36" s="17">
        <f t="shared" si="2"/>
        <v>-1.4031188127967908</v>
      </c>
      <c r="E36" s="17">
        <f t="shared" si="4"/>
        <v>2.4751707896019042</v>
      </c>
      <c r="F36" s="17">
        <f t="shared" si="4"/>
        <v>-4.3701582744359513</v>
      </c>
      <c r="G36" s="17">
        <f t="shared" si="4"/>
        <v>7.8987166730864686</v>
      </c>
      <c r="H36" s="17">
        <f t="shared" si="4"/>
        <v>-18.891727039242724</v>
      </c>
      <c r="I36" s="17">
        <f t="shared" si="4"/>
        <v>6.7631183752037742</v>
      </c>
      <c r="J36" s="17">
        <f t="shared" si="4"/>
        <v>-1.1780244166387348</v>
      </c>
      <c r="K36" s="17">
        <f t="shared" si="4"/>
        <v>-33.519203760497916</v>
      </c>
      <c r="L36" s="17">
        <f t="shared" si="4"/>
        <v>12.556187135195287</v>
      </c>
      <c r="M36" s="17">
        <f t="shared" si="4"/>
        <v>-35.814013254610288</v>
      </c>
      <c r="N36" s="17">
        <f t="shared" si="4"/>
        <v>28.012385440594173</v>
      </c>
      <c r="O36" s="17">
        <f t="shared" si="4"/>
        <v>9.5920057121914937</v>
      </c>
    </row>
    <row r="37" spans="1:15" x14ac:dyDescent="0.25">
      <c r="A37">
        <v>36</v>
      </c>
      <c r="B37">
        <v>51.730497183246996</v>
      </c>
      <c r="C37">
        <f t="shared" si="0"/>
        <v>48.154091141701585</v>
      </c>
      <c r="D37" s="17">
        <f t="shared" si="2"/>
        <v>41.198686548088617</v>
      </c>
      <c r="E37" s="17">
        <f t="shared" si="4"/>
        <v>-1.4031188127967908</v>
      </c>
      <c r="F37" s="17">
        <f t="shared" si="4"/>
        <v>2.4751707896019042</v>
      </c>
      <c r="G37" s="17">
        <f t="shared" si="4"/>
        <v>-4.3701582744359513</v>
      </c>
      <c r="H37" s="17">
        <f t="shared" si="4"/>
        <v>7.8987166730864686</v>
      </c>
      <c r="I37" s="17">
        <f t="shared" si="4"/>
        <v>-18.891727039242724</v>
      </c>
      <c r="J37" s="17">
        <f t="shared" si="4"/>
        <v>6.7631183752037742</v>
      </c>
      <c r="K37" s="17">
        <f t="shared" si="4"/>
        <v>-1.1780244166387348</v>
      </c>
      <c r="L37" s="17">
        <f t="shared" si="4"/>
        <v>-33.519203760497916</v>
      </c>
      <c r="M37" s="17">
        <f t="shared" si="4"/>
        <v>12.556187135195287</v>
      </c>
      <c r="N37" s="17">
        <f t="shared" si="4"/>
        <v>-35.814013254610288</v>
      </c>
      <c r="O37" s="17">
        <f t="shared" si="4"/>
        <v>28.012385440594173</v>
      </c>
    </row>
    <row r="38" spans="1:15" x14ac:dyDescent="0.25">
      <c r="B38">
        <f>AVERAGE(B2:B37)</f>
        <v>3.5764060415454111</v>
      </c>
      <c r="C38">
        <f>SUMPRODUCT($C2:$C37,C2:C37)</f>
        <v>13636.816339273908</v>
      </c>
      <c r="D38" s="17">
        <f t="shared" ref="D38:O38" si="5">SUMPRODUCT($C2:$C37,D2:D37)</f>
        <v>-474.06902346061611</v>
      </c>
      <c r="E38" s="17">
        <f t="shared" si="5"/>
        <v>753.36279907322205</v>
      </c>
      <c r="F38" s="17">
        <f t="shared" si="5"/>
        <v>-229.30649040396986</v>
      </c>
      <c r="G38" s="17">
        <f t="shared" si="5"/>
        <v>-2223.6415018940424</v>
      </c>
      <c r="H38" s="17">
        <f t="shared" si="5"/>
        <v>1544.2836096311221</v>
      </c>
      <c r="I38" s="17">
        <f t="shared" si="5"/>
        <v>-2442.5313252907113</v>
      </c>
      <c r="J38" s="17">
        <f t="shared" si="5"/>
        <v>1790.5251261045746</v>
      </c>
      <c r="K38" s="17">
        <f t="shared" si="5"/>
        <v>-4382.6087819461973</v>
      </c>
      <c r="L38" s="17">
        <f t="shared" si="5"/>
        <v>-167.69988735195102</v>
      </c>
      <c r="M38" s="17">
        <f t="shared" si="5"/>
        <v>-1460.419041194159</v>
      </c>
      <c r="N38" s="17">
        <f t="shared" si="5"/>
        <v>733.06204310153248</v>
      </c>
      <c r="O38" s="17">
        <f t="shared" si="5"/>
        <v>5512.8013997480111</v>
      </c>
    </row>
    <row r="40" spans="1:15" x14ac:dyDescent="0.25">
      <c r="C40" s="17" t="s">
        <v>11</v>
      </c>
      <c r="D40" s="17">
        <f t="shared" ref="D40:O40" si="6">D38/$C38</f>
        <v>-3.4763907620820676E-2</v>
      </c>
      <c r="E40" s="17">
        <f t="shared" si="6"/>
        <v>5.5244771237663734E-2</v>
      </c>
      <c r="F40" s="17">
        <f t="shared" si="6"/>
        <v>-1.6815251059997725E-2</v>
      </c>
      <c r="G40" s="17">
        <f t="shared" si="6"/>
        <v>-0.16306163011743255</v>
      </c>
      <c r="H40" s="17">
        <f t="shared" si="6"/>
        <v>0.11324370521758802</v>
      </c>
      <c r="I40" s="17">
        <f t="shared" si="6"/>
        <v>-0.17911301762246684</v>
      </c>
      <c r="J40" s="17">
        <f t="shared" si="6"/>
        <v>0.13130081696179177</v>
      </c>
      <c r="K40" s="17">
        <f t="shared" si="6"/>
        <v>-0.32138064141293182</v>
      </c>
      <c r="L40" s="17">
        <f t="shared" si="6"/>
        <v>-1.2297583481342113E-2</v>
      </c>
      <c r="M40" s="17">
        <f t="shared" si="6"/>
        <v>-0.10709384103004785</v>
      </c>
      <c r="N40" s="17">
        <f t="shared" si="6"/>
        <v>5.3756098554346619E-2</v>
      </c>
      <c r="O40" s="17">
        <f t="shared" si="6"/>
        <v>0.40425868198218617</v>
      </c>
    </row>
    <row r="41" spans="1:15" x14ac:dyDescent="0.25">
      <c r="C41" s="17" t="s">
        <v>26</v>
      </c>
      <c r="D41" s="17">
        <f>2/SQRT(36)</f>
        <v>0.33333333333333331</v>
      </c>
      <c r="E41" s="17">
        <f t="shared" ref="E41:O41" si="7">2/SQRT(36)</f>
        <v>0.33333333333333331</v>
      </c>
      <c r="F41" s="17">
        <f t="shared" si="7"/>
        <v>0.33333333333333331</v>
      </c>
      <c r="G41" s="17">
        <f t="shared" si="7"/>
        <v>0.33333333333333331</v>
      </c>
      <c r="H41" s="17">
        <f t="shared" si="7"/>
        <v>0.33333333333333331</v>
      </c>
      <c r="I41" s="17">
        <f t="shared" si="7"/>
        <v>0.33333333333333331</v>
      </c>
      <c r="J41" s="17">
        <f t="shared" si="7"/>
        <v>0.33333333333333331</v>
      </c>
      <c r="K41" s="17">
        <f t="shared" si="7"/>
        <v>0.33333333333333331</v>
      </c>
      <c r="L41" s="17">
        <f t="shared" si="7"/>
        <v>0.33333333333333331</v>
      </c>
      <c r="M41" s="17">
        <f t="shared" si="7"/>
        <v>0.33333333333333331</v>
      </c>
      <c r="N41" s="17">
        <f t="shared" si="7"/>
        <v>0.33333333333333331</v>
      </c>
      <c r="O41" s="17">
        <f t="shared" si="7"/>
        <v>0.33333333333333331</v>
      </c>
    </row>
    <row r="42" spans="1:15" x14ac:dyDescent="0.25">
      <c r="C42" s="17" t="s">
        <v>27</v>
      </c>
      <c r="D42" s="17">
        <f>-2/SQRT(36)</f>
        <v>-0.33333333333333331</v>
      </c>
      <c r="E42" s="17">
        <f t="shared" ref="E42:N42" si="8">-2/SQRT(36)</f>
        <v>-0.33333333333333331</v>
      </c>
      <c r="F42" s="17">
        <f t="shared" si="8"/>
        <v>-0.33333333333333331</v>
      </c>
      <c r="G42" s="17">
        <f t="shared" si="8"/>
        <v>-0.33333333333333331</v>
      </c>
      <c r="H42" s="17">
        <f t="shared" si="8"/>
        <v>-0.33333333333333331</v>
      </c>
      <c r="I42" s="17">
        <f t="shared" si="8"/>
        <v>-0.33333333333333331</v>
      </c>
      <c r="J42" s="17">
        <f t="shared" si="8"/>
        <v>-0.33333333333333331</v>
      </c>
      <c r="K42" s="17">
        <f t="shared" si="8"/>
        <v>-0.33333333333333331</v>
      </c>
      <c r="L42" s="17">
        <f t="shared" si="8"/>
        <v>-0.33333333333333331</v>
      </c>
      <c r="M42" s="17">
        <f t="shared" si="8"/>
        <v>-0.33333333333333331</v>
      </c>
      <c r="N42" s="17">
        <f t="shared" si="8"/>
        <v>-0.33333333333333331</v>
      </c>
      <c r="O42" s="17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H37"/>
  <sheetViews>
    <sheetView topLeftCell="D1" workbookViewId="0">
      <selection activeCell="E13" sqref="E13"/>
    </sheetView>
  </sheetViews>
  <sheetFormatPr defaultColWidth="11" defaultRowHeight="15.75" x14ac:dyDescent="0.25"/>
  <cols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25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2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32">
        <v>0.98823339924446252</v>
      </c>
      <c r="H2" s="2">
        <f t="shared" ref="H2:H37" si="0">B2/G2</f>
        <v>166.96460585743006</v>
      </c>
    </row>
    <row r="3" spans="1:8" x14ac:dyDescent="0.2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32">
        <v>1.0394595142086607</v>
      </c>
      <c r="H3" s="2">
        <f t="shared" si="0"/>
        <v>164.50857167840934</v>
      </c>
    </row>
    <row r="4" spans="1:8" x14ac:dyDescent="0.2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32">
        <v>0.93293329171244777</v>
      </c>
      <c r="H4" s="2">
        <f t="shared" si="0"/>
        <v>157.56753597052349</v>
      </c>
    </row>
    <row r="5" spans="1:8" x14ac:dyDescent="0.2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32">
        <v>0.91259775591054715</v>
      </c>
      <c r="H5" s="2">
        <f t="shared" si="0"/>
        <v>156.69554201053379</v>
      </c>
    </row>
    <row r="6" spans="1:8" x14ac:dyDescent="0.2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32">
        <v>1.0430106047420362</v>
      </c>
      <c r="H6" s="2">
        <f t="shared" si="0"/>
        <v>157.23713570540491</v>
      </c>
    </row>
    <row r="7" spans="1:8" x14ac:dyDescent="0.2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32">
        <v>0.90644245153667458</v>
      </c>
      <c r="H7" s="2">
        <f t="shared" si="0"/>
        <v>176.5142395181901</v>
      </c>
    </row>
    <row r="8" spans="1:8" x14ac:dyDescent="0.2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32">
        <v>0.92083758937691518</v>
      </c>
      <c r="H8" s="2">
        <f t="shared" si="0"/>
        <v>165.06711037160289</v>
      </c>
    </row>
    <row r="9" spans="1:8" x14ac:dyDescent="0.2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32">
        <v>0.92662094367181047</v>
      </c>
      <c r="H9" s="2">
        <f t="shared" si="0"/>
        <v>161.87849090223762</v>
      </c>
    </row>
    <row r="10" spans="1:8" x14ac:dyDescent="0.2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32">
        <v>0.98849075287229571</v>
      </c>
      <c r="H10" s="2">
        <f t="shared" si="0"/>
        <v>160.85127709893854</v>
      </c>
    </row>
    <row r="11" spans="1:8" x14ac:dyDescent="0.2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32">
        <v>1.0162014531884298</v>
      </c>
      <c r="H11" s="2">
        <f t="shared" si="0"/>
        <v>166.30560748535268</v>
      </c>
    </row>
    <row r="12" spans="1:8" x14ac:dyDescent="0.2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32">
        <v>1.0480526558060541</v>
      </c>
      <c r="H12" s="2">
        <f t="shared" si="0"/>
        <v>165.06804218433683</v>
      </c>
    </row>
    <row r="13" spans="1:8" x14ac:dyDescent="0.2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32">
        <v>1.2040049076184032</v>
      </c>
      <c r="H13" s="2">
        <f t="shared" si="0"/>
        <v>168.60396391701315</v>
      </c>
    </row>
    <row r="14" spans="1:8" x14ac:dyDescent="0.2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31">
        <v>0.98823339924446252</v>
      </c>
      <c r="H14" s="2">
        <f t="shared" si="0"/>
        <v>171.01223266609503</v>
      </c>
    </row>
    <row r="15" spans="1:8" x14ac:dyDescent="0.2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31">
        <v>1.0394595142086607</v>
      </c>
      <c r="H15" s="2">
        <f t="shared" si="0"/>
        <v>159.69837952406988</v>
      </c>
    </row>
    <row r="16" spans="1:8" x14ac:dyDescent="0.2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31">
        <v>0.93293329171244777</v>
      </c>
      <c r="H16" s="2">
        <f t="shared" si="0"/>
        <v>173.64585596751567</v>
      </c>
    </row>
    <row r="17" spans="1:8" x14ac:dyDescent="0.2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31">
        <v>0.91259775591054715</v>
      </c>
      <c r="H17" s="2">
        <f t="shared" si="0"/>
        <v>161.07863409474453</v>
      </c>
    </row>
    <row r="18" spans="1:8" x14ac:dyDescent="0.2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31">
        <v>1.0430106047420362</v>
      </c>
      <c r="H18" s="2">
        <f t="shared" si="0"/>
        <v>180.24744824765929</v>
      </c>
    </row>
    <row r="19" spans="1:8" x14ac:dyDescent="0.2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31">
        <v>0.90644245153667458</v>
      </c>
      <c r="H19" s="2">
        <f t="shared" si="0"/>
        <v>177.61745351517879</v>
      </c>
    </row>
    <row r="20" spans="1:8" x14ac:dyDescent="0.2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31">
        <v>0.92083758937691518</v>
      </c>
      <c r="H20" s="2">
        <f t="shared" si="0"/>
        <v>175.92678868552414</v>
      </c>
    </row>
    <row r="21" spans="1:8" x14ac:dyDescent="0.2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31">
        <v>0.92662094367181047</v>
      </c>
      <c r="H21" s="2">
        <f t="shared" si="0"/>
        <v>182.38309974985438</v>
      </c>
    </row>
    <row r="22" spans="1:8" x14ac:dyDescent="0.2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31">
        <v>0.98849075287229571</v>
      </c>
      <c r="H22" s="2">
        <f t="shared" si="0"/>
        <v>187.15400165599766</v>
      </c>
    </row>
    <row r="23" spans="1:8" x14ac:dyDescent="0.2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31">
        <v>1.0162014531884298</v>
      </c>
      <c r="H23" s="2">
        <f t="shared" si="0"/>
        <v>185.00268761684202</v>
      </c>
    </row>
    <row r="24" spans="1:8" x14ac:dyDescent="0.2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31">
        <v>1.0480526558060541</v>
      </c>
      <c r="H24" s="2">
        <f t="shared" si="0"/>
        <v>190.83010657148768</v>
      </c>
    </row>
    <row r="25" spans="1:8" x14ac:dyDescent="0.2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31">
        <v>1.2040049076184032</v>
      </c>
      <c r="H25" s="2">
        <f t="shared" si="0"/>
        <v>190.19856028076853</v>
      </c>
    </row>
    <row r="26" spans="1:8" x14ac:dyDescent="0.2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30">
        <v>0.98823339924446252</v>
      </c>
      <c r="H26" s="2">
        <f t="shared" si="0"/>
        <v>191.25036670941989</v>
      </c>
    </row>
    <row r="27" spans="1:8" x14ac:dyDescent="0.2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30">
        <v>1.0394595142086607</v>
      </c>
      <c r="H27" s="2">
        <f t="shared" si="0"/>
        <v>209.72437792920022</v>
      </c>
    </row>
    <row r="28" spans="1:8" x14ac:dyDescent="0.2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30">
        <v>0.93293329171244777</v>
      </c>
      <c r="H28" s="2">
        <f t="shared" si="0"/>
        <v>198.29927996290371</v>
      </c>
    </row>
    <row r="29" spans="1:8" x14ac:dyDescent="0.2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30">
        <v>0.91259775591054715</v>
      </c>
      <c r="H29" s="2">
        <f t="shared" si="0"/>
        <v>218.0588311894841</v>
      </c>
    </row>
    <row r="30" spans="1:8" x14ac:dyDescent="0.2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30">
        <v>1.0430106047420362</v>
      </c>
      <c r="H30" s="2">
        <f t="shared" si="0"/>
        <v>201.34023474472582</v>
      </c>
    </row>
    <row r="31" spans="1:8" x14ac:dyDescent="0.2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30">
        <v>0.90644245153667458</v>
      </c>
      <c r="H31" s="2">
        <f t="shared" si="0"/>
        <v>212.92030141881682</v>
      </c>
    </row>
    <row r="32" spans="1:8" x14ac:dyDescent="0.25">
      <c r="A32">
        <v>31</v>
      </c>
      <c r="B32">
        <v>211</v>
      </c>
      <c r="C32" s="11"/>
      <c r="D32" s="11"/>
      <c r="G32" s="30">
        <v>0.92083758937691518</v>
      </c>
      <c r="H32" s="2">
        <f t="shared" si="0"/>
        <v>229.13921242373823</v>
      </c>
    </row>
    <row r="33" spans="1:8" x14ac:dyDescent="0.25">
      <c r="A33">
        <v>32</v>
      </c>
      <c r="B33">
        <v>208</v>
      </c>
      <c r="C33" s="11"/>
      <c r="D33" s="11"/>
      <c r="G33" s="30">
        <v>0.92662094367181047</v>
      </c>
      <c r="H33" s="2">
        <f t="shared" si="0"/>
        <v>224.47150738443617</v>
      </c>
    </row>
    <row r="34" spans="1:8" x14ac:dyDescent="0.25">
      <c r="A34">
        <v>33</v>
      </c>
      <c r="B34">
        <v>216</v>
      </c>
      <c r="C34" s="11"/>
      <c r="D34" s="11"/>
      <c r="G34" s="30">
        <v>0.98849075287229571</v>
      </c>
      <c r="H34" s="2">
        <f t="shared" si="0"/>
        <v>218.51494247402968</v>
      </c>
    </row>
    <row r="35" spans="1:8" x14ac:dyDescent="0.25">
      <c r="A35">
        <v>34</v>
      </c>
      <c r="B35">
        <v>218</v>
      </c>
      <c r="C35" s="11"/>
      <c r="D35" s="11"/>
      <c r="G35" s="30">
        <v>1.0162014531884298</v>
      </c>
      <c r="H35" s="2">
        <f t="shared" si="0"/>
        <v>214.5243930876147</v>
      </c>
    </row>
    <row r="36" spans="1:8" x14ac:dyDescent="0.25">
      <c r="A36">
        <v>35</v>
      </c>
      <c r="B36">
        <v>264</v>
      </c>
      <c r="C36" s="11"/>
      <c r="D36" s="11"/>
      <c r="G36" s="30">
        <v>1.0480526558060541</v>
      </c>
      <c r="H36" s="2">
        <f t="shared" si="0"/>
        <v>251.89574067436374</v>
      </c>
    </row>
    <row r="37" spans="1:8" x14ac:dyDescent="0.25">
      <c r="A37">
        <v>36</v>
      </c>
      <c r="B37">
        <v>304</v>
      </c>
      <c r="C37" s="11"/>
      <c r="D37" s="11"/>
      <c r="G37" s="30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64"/>
  <sheetViews>
    <sheetView tabSelected="1" workbookViewId="0">
      <pane ySplit="4" topLeftCell="A51" activePane="bottomLeft" state="frozen"/>
      <selection activeCell="O15" sqref="O15"/>
      <selection pane="bottomLeft" activeCell="K2" sqref="K2"/>
    </sheetView>
  </sheetViews>
  <sheetFormatPr defaultColWidth="11" defaultRowHeight="15.75" x14ac:dyDescent="0.25"/>
  <cols>
    <col min="6" max="8" width="10.875" customWidth="1"/>
  </cols>
  <sheetData>
    <row r="1" spans="1:8" ht="63" x14ac:dyDescent="0.25">
      <c r="A1" s="1" t="s">
        <v>14</v>
      </c>
      <c r="B1" s="1"/>
      <c r="C1" s="18" t="s">
        <v>15</v>
      </c>
      <c r="D1" s="18" t="s">
        <v>16</v>
      </c>
      <c r="E1" s="18" t="s">
        <v>18</v>
      </c>
      <c r="G1" s="18" t="s">
        <v>8</v>
      </c>
      <c r="H1" s="18" t="s">
        <v>9</v>
      </c>
    </row>
    <row r="2" spans="1:8" x14ac:dyDescent="0.25">
      <c r="A2">
        <v>36</v>
      </c>
      <c r="C2" s="17">
        <v>0.30700354694575144</v>
      </c>
      <c r="D2" s="17">
        <v>0.22891433654683094</v>
      </c>
      <c r="E2" s="17">
        <v>0</v>
      </c>
      <c r="G2" s="17">
        <f>SUM(H17:H52)</f>
        <v>3550.6645037775065</v>
      </c>
      <c r="H2" s="17">
        <f>SQRT(G2/(36-3))</f>
        <v>10.372844067750361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 s="17">
        <f>C16+D16+C$2*G17/E5</f>
        <v>152.87244962574835</v>
      </c>
      <c r="D17" s="17">
        <f>D16+D$2*C$2*G17/E5</f>
        <v>3.6386006716734727</v>
      </c>
      <c r="E17" s="21">
        <f>E5+E$2*(1-C$2)*G17/(C16+D16)</f>
        <v>0.98823339924446252</v>
      </c>
      <c r="F17" s="17">
        <f>(C16+D16)*E5</f>
        <v>144.90416921451589</v>
      </c>
      <c r="G17" s="17">
        <f>B17-F17</f>
        <v>20.095830785484111</v>
      </c>
      <c r="H17" s="17">
        <f>G17^2</f>
        <v>403.84241495881093</v>
      </c>
    </row>
    <row r="18" spans="1:8" x14ac:dyDescent="0.25">
      <c r="A18">
        <v>2</v>
      </c>
      <c r="B18">
        <v>171</v>
      </c>
      <c r="C18" s="17">
        <f t="shared" ref="C18:C52" si="0">C17+D17+C$2*G18/E6</f>
        <v>158.96631772815948</v>
      </c>
      <c r="D18" s="17">
        <f t="shared" ref="D18:D52" si="1">D17+D$2*C$2*G18/E6</f>
        <v>4.2006465866258225</v>
      </c>
      <c r="E18" s="21">
        <f t="shared" ref="E18:E51" si="2">E6+E$2*(1-C$2)*G18/(C17+D17)</f>
        <v>1.0394595142086607</v>
      </c>
      <c r="F18" s="17">
        <f t="shared" ref="F18:F52" si="3">(C17+D17)*E6</f>
        <v>162.68690031044537</v>
      </c>
      <c r="G18" s="17">
        <f t="shared" ref="G18:G52" si="4">B18-F18</f>
        <v>8.3130996895546332</v>
      </c>
      <c r="H18" s="17">
        <f t="shared" ref="H18:H52" si="5">G18^2</f>
        <v>69.10762644847334</v>
      </c>
    </row>
    <row r="19" spans="1:8" x14ac:dyDescent="0.25">
      <c r="A19">
        <v>3</v>
      </c>
      <c r="B19">
        <v>147</v>
      </c>
      <c r="C19" s="17">
        <f t="shared" si="0"/>
        <v>161.44791995222835</v>
      </c>
      <c r="D19" s="17">
        <f t="shared" si="1"/>
        <v>3.8071326868765278</v>
      </c>
      <c r="E19" s="21">
        <f t="shared" si="2"/>
        <v>0.93293329171244777</v>
      </c>
      <c r="F19" s="17">
        <f t="shared" si="3"/>
        <v>152.22389311692015</v>
      </c>
      <c r="G19" s="17">
        <f t="shared" si="4"/>
        <v>-5.2238931169201521</v>
      </c>
      <c r="H19" s="17">
        <f t="shared" si="5"/>
        <v>27.289059297005743</v>
      </c>
    </row>
    <row r="20" spans="1:8" x14ac:dyDescent="0.25">
      <c r="A20">
        <v>4</v>
      </c>
      <c r="B20">
        <v>143</v>
      </c>
      <c r="C20" s="17">
        <f t="shared" si="0"/>
        <v>162.62725251601367</v>
      </c>
      <c r="D20" s="17">
        <f t="shared" si="1"/>
        <v>3.2055915651214302</v>
      </c>
      <c r="E20" s="21">
        <f t="shared" si="2"/>
        <v>0.91259775591054715</v>
      </c>
      <c r="F20" s="17">
        <f t="shared" si="3"/>
        <v>150.81139019132644</v>
      </c>
      <c r="G20" s="17">
        <f t="shared" si="4"/>
        <v>-7.8113901913264385</v>
      </c>
      <c r="H20" s="17">
        <f t="shared" si="5"/>
        <v>61.017816721150893</v>
      </c>
    </row>
    <row r="21" spans="1:8" x14ac:dyDescent="0.25">
      <c r="A21">
        <v>5</v>
      </c>
      <c r="B21">
        <v>164</v>
      </c>
      <c r="C21" s="17">
        <f t="shared" si="0"/>
        <v>163.19393112127463</v>
      </c>
      <c r="D21" s="17">
        <f t="shared" si="1"/>
        <v>2.6015065557101362</v>
      </c>
      <c r="E21" s="21">
        <f t="shared" si="2"/>
        <v>1.0430106047420362</v>
      </c>
      <c r="F21" s="17">
        <f t="shared" si="3"/>
        <v>172.96541499115654</v>
      </c>
      <c r="G21" s="17">
        <f t="shared" si="4"/>
        <v>-8.9654149911565355</v>
      </c>
      <c r="H21" s="17">
        <f t="shared" si="5"/>
        <v>80.378665963654342</v>
      </c>
    </row>
    <row r="22" spans="1:8" x14ac:dyDescent="0.25">
      <c r="A22">
        <v>6</v>
      </c>
      <c r="B22">
        <v>160</v>
      </c>
      <c r="C22" s="17">
        <f t="shared" si="0"/>
        <v>169.08614786124346</v>
      </c>
      <c r="D22" s="17">
        <f t="shared" si="1"/>
        <v>3.3547972943076139</v>
      </c>
      <c r="E22" s="21">
        <f t="shared" si="2"/>
        <v>0.90644245153667458</v>
      </c>
      <c r="F22" s="17">
        <f t="shared" si="3"/>
        <v>150.28402298152201</v>
      </c>
      <c r="G22" s="17">
        <f t="shared" si="4"/>
        <v>9.7159770184779859</v>
      </c>
      <c r="H22" s="17">
        <f t="shared" si="5"/>
        <v>94.400209423592372</v>
      </c>
    </row>
    <row r="23" spans="1:8" x14ac:dyDescent="0.25">
      <c r="A23">
        <v>7</v>
      </c>
      <c r="B23">
        <v>152</v>
      </c>
      <c r="C23" s="17">
        <f t="shared" si="0"/>
        <v>170.17715172228702</v>
      </c>
      <c r="D23" s="17">
        <f t="shared" si="1"/>
        <v>2.8365825224529009</v>
      </c>
      <c r="E23" s="21">
        <f t="shared" si="2"/>
        <v>0.92083758937691518</v>
      </c>
      <c r="F23" s="17">
        <f t="shared" si="3"/>
        <v>158.7901042469145</v>
      </c>
      <c r="G23" s="17">
        <f t="shared" si="4"/>
        <v>-6.7901042469144954</v>
      </c>
      <c r="H23" s="17">
        <f t="shared" si="5"/>
        <v>46.105515683966267</v>
      </c>
    </row>
    <row r="24" spans="1:8" x14ac:dyDescent="0.25">
      <c r="A24">
        <v>8</v>
      </c>
      <c r="B24">
        <v>150</v>
      </c>
      <c r="C24" s="17">
        <f t="shared" si="0"/>
        <v>169.59517504248765</v>
      </c>
      <c r="D24" s="17">
        <f t="shared" si="1"/>
        <v>2.0540253107232558</v>
      </c>
      <c r="E24" s="21">
        <f t="shared" si="2"/>
        <v>0.92662094367181047</v>
      </c>
      <c r="F24" s="17">
        <f t="shared" si="3"/>
        <v>160.31814969404476</v>
      </c>
      <c r="G24" s="17">
        <f t="shared" si="4"/>
        <v>-10.318149694044763</v>
      </c>
      <c r="H24" s="17">
        <f t="shared" si="5"/>
        <v>106.46421310871604</v>
      </c>
    </row>
    <row r="25" spans="1:8" x14ac:dyDescent="0.25">
      <c r="A25">
        <v>9</v>
      </c>
      <c r="B25">
        <v>159</v>
      </c>
      <c r="C25" s="17">
        <f t="shared" si="0"/>
        <v>168.33419961450127</v>
      </c>
      <c r="D25" s="17">
        <f t="shared" si="1"/>
        <v>1.2951741159692856</v>
      </c>
      <c r="E25" s="21">
        <f t="shared" si="2"/>
        <v>0.98849075287229571</v>
      </c>
      <c r="F25" s="17">
        <f t="shared" si="3"/>
        <v>169.67364728707298</v>
      </c>
      <c r="G25" s="17">
        <f t="shared" si="4"/>
        <v>-10.673647287072981</v>
      </c>
      <c r="H25" s="17">
        <f t="shared" si="5"/>
        <v>113.92674640884042</v>
      </c>
    </row>
    <row r="26" spans="1:8" x14ac:dyDescent="0.25">
      <c r="A26">
        <v>10</v>
      </c>
      <c r="B26">
        <v>169</v>
      </c>
      <c r="C26" s="17">
        <f t="shared" si="0"/>
        <v>168.60896570400081</v>
      </c>
      <c r="D26" s="17">
        <f t="shared" si="1"/>
        <v>1.0615880895829026</v>
      </c>
      <c r="E26" s="21">
        <f t="shared" si="2"/>
        <v>1.0162014531884298</v>
      </c>
      <c r="F26" s="17">
        <f t="shared" si="3"/>
        <v>172.37761608834742</v>
      </c>
      <c r="G26" s="17">
        <f t="shared" si="4"/>
        <v>-3.3776160883474233</v>
      </c>
      <c r="H26" s="17">
        <f t="shared" si="5"/>
        <v>11.408290440263348</v>
      </c>
    </row>
    <row r="27" spans="1:8" x14ac:dyDescent="0.25">
      <c r="A27">
        <v>11</v>
      </c>
      <c r="B27">
        <v>173</v>
      </c>
      <c r="C27" s="17">
        <f t="shared" si="0"/>
        <v>168.25756640468592</v>
      </c>
      <c r="D27" s="17">
        <f t="shared" si="1"/>
        <v>0.7381350189043272</v>
      </c>
      <c r="E27" s="21">
        <f t="shared" si="2"/>
        <v>1.0480526558060541</v>
      </c>
      <c r="F27" s="17">
        <f t="shared" si="3"/>
        <v>177.82367451544937</v>
      </c>
      <c r="G27" s="17">
        <f t="shared" si="4"/>
        <v>-4.823674515449369</v>
      </c>
      <c r="H27" s="17">
        <f t="shared" si="5"/>
        <v>23.267835830995704</v>
      </c>
    </row>
    <row r="28" spans="1:8" x14ac:dyDescent="0.25">
      <c r="A28">
        <v>12</v>
      </c>
      <c r="B28">
        <v>203</v>
      </c>
      <c r="C28" s="17">
        <f t="shared" si="0"/>
        <v>168.87543661959938</v>
      </c>
      <c r="D28" s="17">
        <f t="shared" si="1"/>
        <v>0.71060468108882624</v>
      </c>
      <c r="E28" s="21">
        <f t="shared" si="2"/>
        <v>1.2040049076184032</v>
      </c>
      <c r="F28" s="17">
        <f t="shared" si="3"/>
        <v>203.47165388041702</v>
      </c>
      <c r="G28" s="17">
        <f t="shared" si="4"/>
        <v>-0.47165388041702272</v>
      </c>
      <c r="H28" s="17">
        <f t="shared" si="5"/>
        <v>0.22245738291243516</v>
      </c>
    </row>
    <row r="29" spans="1:8" x14ac:dyDescent="0.25">
      <c r="A29">
        <v>13</v>
      </c>
      <c r="B29">
        <v>169</v>
      </c>
      <c r="C29" s="17">
        <f t="shared" si="0"/>
        <v>170.02388710849149</v>
      </c>
      <c r="D29" s="17">
        <f t="shared" si="1"/>
        <v>0.81083386369192878</v>
      </c>
      <c r="E29" s="21">
        <f t="shared" si="2"/>
        <v>0.98823339924446252</v>
      </c>
      <c r="F29" s="17">
        <f t="shared" si="3"/>
        <v>167.59059005899093</v>
      </c>
      <c r="G29" s="17">
        <f t="shared" si="4"/>
        <v>1.4094099410090735</v>
      </c>
      <c r="H29" s="17">
        <f t="shared" si="5"/>
        <v>1.9864363818152</v>
      </c>
    </row>
    <row r="30" spans="1:8" x14ac:dyDescent="0.25">
      <c r="A30">
        <v>14</v>
      </c>
      <c r="B30">
        <v>166</v>
      </c>
      <c r="C30" s="17">
        <f t="shared" si="0"/>
        <v>167.41582464761356</v>
      </c>
      <c r="D30" s="17">
        <f t="shared" si="1"/>
        <v>2.8199479830623875E-2</v>
      </c>
      <c r="E30" s="21">
        <f t="shared" si="2"/>
        <v>1.0394595142086607</v>
      </c>
      <c r="F30" s="17">
        <f t="shared" si="3"/>
        <v>177.57577607171788</v>
      </c>
      <c r="G30" s="17">
        <f t="shared" si="4"/>
        <v>-11.575776071717883</v>
      </c>
      <c r="H30" s="17">
        <f t="shared" si="5"/>
        <v>133.99859166255629</v>
      </c>
    </row>
    <row r="31" spans="1:8" x14ac:dyDescent="0.25">
      <c r="A31">
        <v>15</v>
      </c>
      <c r="B31">
        <v>162</v>
      </c>
      <c r="C31" s="17">
        <f t="shared" si="0"/>
        <v>169.34800849990722</v>
      </c>
      <c r="D31" s="17">
        <f t="shared" si="1"/>
        <v>0.4640487992485372</v>
      </c>
      <c r="E31" s="21">
        <f t="shared" si="2"/>
        <v>0.93293329171244777</v>
      </c>
      <c r="F31" s="17">
        <f t="shared" si="3"/>
        <v>156.21410460679502</v>
      </c>
      <c r="G31" s="17">
        <f t="shared" si="4"/>
        <v>5.7858953932049815</v>
      </c>
      <c r="H31" s="17">
        <f t="shared" si="5"/>
        <v>33.476585501110627</v>
      </c>
    </row>
    <row r="32" spans="1:8" x14ac:dyDescent="0.25">
      <c r="A32">
        <v>16</v>
      </c>
      <c r="B32">
        <v>147</v>
      </c>
      <c r="C32" s="17">
        <f t="shared" si="0"/>
        <v>167.13086539842317</v>
      </c>
      <c r="D32" s="17">
        <f t="shared" si="1"/>
        <v>-0.14971446586239862</v>
      </c>
      <c r="E32" s="21">
        <f t="shared" si="2"/>
        <v>0.91259775591054715</v>
      </c>
      <c r="F32" s="17">
        <f t="shared" si="3"/>
        <v>154.9701024177628</v>
      </c>
      <c r="G32" s="17">
        <f t="shared" si="4"/>
        <v>-7.9701024177628028</v>
      </c>
      <c r="H32" s="17">
        <f t="shared" si="5"/>
        <v>63.522532549628473</v>
      </c>
    </row>
    <row r="33" spans="1:11" x14ac:dyDescent="0.25">
      <c r="A33">
        <v>17</v>
      </c>
      <c r="B33">
        <v>188</v>
      </c>
      <c r="C33" s="17">
        <f t="shared" si="0"/>
        <v>171.05395126313292</v>
      </c>
      <c r="D33" s="17">
        <f t="shared" si="1"/>
        <v>0.78260791969823762</v>
      </c>
      <c r="E33" s="21">
        <f t="shared" si="2"/>
        <v>1.0430106047420362</v>
      </c>
      <c r="F33" s="17">
        <f t="shared" si="3"/>
        <v>174.16311121469144</v>
      </c>
      <c r="G33" s="17">
        <f t="shared" si="4"/>
        <v>13.83688878530856</v>
      </c>
      <c r="H33" s="17">
        <f t="shared" si="5"/>
        <v>191.45949125699778</v>
      </c>
    </row>
    <row r="34" spans="1:11" x14ac:dyDescent="0.25">
      <c r="A34">
        <v>18</v>
      </c>
      <c r="B34">
        <v>161</v>
      </c>
      <c r="C34" s="17">
        <f t="shared" si="0"/>
        <v>173.61131424738048</v>
      </c>
      <c r="D34" s="17">
        <f t="shared" si="1"/>
        <v>1.1888747978326726</v>
      </c>
      <c r="E34" s="21">
        <f t="shared" si="2"/>
        <v>0.90644245153667458</v>
      </c>
      <c r="F34" s="17">
        <f t="shared" si="3"/>
        <v>155.75995196931234</v>
      </c>
      <c r="G34" s="17">
        <f t="shared" si="4"/>
        <v>5.2400480306876602</v>
      </c>
      <c r="H34" s="17">
        <f t="shared" si="5"/>
        <v>27.458103363913626</v>
      </c>
    </row>
    <row r="35" spans="1:11" x14ac:dyDescent="0.25">
      <c r="A35">
        <v>19</v>
      </c>
      <c r="B35">
        <v>162</v>
      </c>
      <c r="C35" s="17">
        <f t="shared" si="0"/>
        <v>175.14605913077645</v>
      </c>
      <c r="D35" s="17">
        <f t="shared" si="1"/>
        <v>1.268049419000786</v>
      </c>
      <c r="E35" s="21">
        <f t="shared" si="2"/>
        <v>0.92083758937691518</v>
      </c>
      <c r="F35" s="17">
        <f t="shared" si="3"/>
        <v>160.96258470302314</v>
      </c>
      <c r="G35" s="17">
        <f t="shared" si="4"/>
        <v>1.0374152969768602</v>
      </c>
      <c r="H35" s="17">
        <f t="shared" si="5"/>
        <v>1.0762304984015871</v>
      </c>
    </row>
    <row r="36" spans="1:11" x14ac:dyDescent="0.25">
      <c r="A36">
        <v>20</v>
      </c>
      <c r="B36">
        <v>169</v>
      </c>
      <c r="C36" s="17">
        <f t="shared" si="0"/>
        <v>178.24661001988889</v>
      </c>
      <c r="D36" s="17">
        <f t="shared" si="1"/>
        <v>1.6875352772524885</v>
      </c>
      <c r="E36" s="21">
        <f t="shared" si="2"/>
        <v>0.92662094367181047</v>
      </c>
      <c r="F36" s="17">
        <f t="shared" si="3"/>
        <v>163.46900774141579</v>
      </c>
      <c r="G36" s="17">
        <f t="shared" si="4"/>
        <v>5.530992258584206</v>
      </c>
      <c r="H36" s="17">
        <f t="shared" si="5"/>
        <v>30.591875364518415</v>
      </c>
    </row>
    <row r="37" spans="1:11" x14ac:dyDescent="0.25">
      <c r="A37">
        <v>21</v>
      </c>
      <c r="B37">
        <v>185</v>
      </c>
      <c r="C37" s="17">
        <f t="shared" si="0"/>
        <v>182.1506668077491</v>
      </c>
      <c r="D37" s="17">
        <f t="shared" si="1"/>
        <v>2.1949288282950334</v>
      </c>
      <c r="E37" s="21">
        <f t="shared" si="2"/>
        <v>0.98849075287229571</v>
      </c>
      <c r="F37" s="17">
        <f t="shared" si="3"/>
        <v>177.86323875220432</v>
      </c>
      <c r="G37" s="17">
        <f t="shared" si="4"/>
        <v>7.1367612477956754</v>
      </c>
      <c r="H37" s="17">
        <f t="shared" si="5"/>
        <v>50.933361108038085</v>
      </c>
    </row>
    <row r="38" spans="1:11" x14ac:dyDescent="0.25">
      <c r="A38">
        <v>22</v>
      </c>
      <c r="B38">
        <v>188</v>
      </c>
      <c r="C38" s="17">
        <f t="shared" si="0"/>
        <v>184.54732520481872</v>
      </c>
      <c r="D38" s="17">
        <f t="shared" si="1"/>
        <v>2.24110761869294</v>
      </c>
      <c r="E38" s="21">
        <f t="shared" si="2"/>
        <v>1.0162014531884298</v>
      </c>
      <c r="F38" s="17">
        <f t="shared" si="3"/>
        <v>187.33226217423473</v>
      </c>
      <c r="G38" s="17">
        <f t="shared" si="4"/>
        <v>0.66773782576527196</v>
      </c>
      <c r="H38" s="17">
        <f t="shared" si="5"/>
        <v>0.44587380395773268</v>
      </c>
    </row>
    <row r="39" spans="1:11" x14ac:dyDescent="0.25">
      <c r="A39">
        <v>23</v>
      </c>
      <c r="B39">
        <v>200</v>
      </c>
      <c r="C39" s="17">
        <f t="shared" si="0"/>
        <v>188.02924099973782</v>
      </c>
      <c r="D39" s="17">
        <f t="shared" si="1"/>
        <v>2.5251463991356347</v>
      </c>
      <c r="E39" s="21">
        <f t="shared" si="2"/>
        <v>1.0480526558060541</v>
      </c>
      <c r="F39" s="17">
        <f t="shared" si="3"/>
        <v>195.76411309453215</v>
      </c>
      <c r="G39" s="17">
        <f t="shared" si="4"/>
        <v>4.2358869054678507</v>
      </c>
      <c r="H39" s="17">
        <f t="shared" si="5"/>
        <v>17.942737875914005</v>
      </c>
    </row>
    <row r="40" spans="1:11" x14ac:dyDescent="0.25">
      <c r="A40">
        <v>24</v>
      </c>
      <c r="B40">
        <v>229</v>
      </c>
      <c r="C40" s="17">
        <f t="shared" si="0"/>
        <v>190.44514721151575</v>
      </c>
      <c r="D40" s="17">
        <f t="shared" si="1"/>
        <v>2.5001397541223969</v>
      </c>
      <c r="E40" s="21">
        <f t="shared" si="2"/>
        <v>1.2040049076184032</v>
      </c>
      <c r="F40" s="17">
        <f t="shared" si="3"/>
        <v>229.42841759646203</v>
      </c>
      <c r="G40" s="17">
        <f t="shared" si="4"/>
        <v>-0.42841759646202604</v>
      </c>
      <c r="H40" s="17">
        <f t="shared" si="5"/>
        <v>0.18354163695829939</v>
      </c>
    </row>
    <row r="41" spans="1:11" x14ac:dyDescent="0.25">
      <c r="A41">
        <v>25</v>
      </c>
      <c r="B41">
        <v>189</v>
      </c>
      <c r="C41" s="17">
        <f t="shared" si="0"/>
        <v>192.42494043518892</v>
      </c>
      <c r="D41" s="17">
        <f t="shared" si="1"/>
        <v>2.3810249733301712</v>
      </c>
      <c r="E41" s="21">
        <f t="shared" si="2"/>
        <v>0.98823339924446252</v>
      </c>
      <c r="F41" s="17">
        <f t="shared" si="3"/>
        <v>190.67497680625087</v>
      </c>
      <c r="G41" s="17">
        <f t="shared" si="4"/>
        <v>-1.6749768062508679</v>
      </c>
      <c r="H41" s="17">
        <f t="shared" si="5"/>
        <v>2.8055473014783572</v>
      </c>
    </row>
    <row r="42" spans="1:11" x14ac:dyDescent="0.25">
      <c r="A42">
        <v>26</v>
      </c>
      <c r="B42">
        <v>218</v>
      </c>
      <c r="C42" s="17">
        <f t="shared" si="0"/>
        <v>199.38597096716811</v>
      </c>
      <c r="D42" s="17">
        <f t="shared" si="1"/>
        <v>3.4294539071691079</v>
      </c>
      <c r="E42" s="21">
        <f t="shared" si="2"/>
        <v>1.0394595142086607</v>
      </c>
      <c r="F42" s="17">
        <f t="shared" si="3"/>
        <v>202.4929141684884</v>
      </c>
      <c r="G42" s="17">
        <f t="shared" si="4"/>
        <v>15.507085831511603</v>
      </c>
      <c r="H42" s="17">
        <f t="shared" si="5"/>
        <v>240.46971098586789</v>
      </c>
    </row>
    <row r="43" spans="1:11" x14ac:dyDescent="0.25">
      <c r="A43">
        <v>27</v>
      </c>
      <c r="B43">
        <v>185</v>
      </c>
      <c r="C43" s="17">
        <f t="shared" si="0"/>
        <v>201.42895236800612</v>
      </c>
      <c r="D43" s="17">
        <f t="shared" si="1"/>
        <v>3.1120704732419036</v>
      </c>
      <c r="E43" s="21">
        <f t="shared" si="2"/>
        <v>0.93293329171244777</v>
      </c>
      <c r="F43" s="17">
        <f t="shared" si="3"/>
        <v>189.21326193807408</v>
      </c>
      <c r="G43" s="17">
        <f t="shared" si="4"/>
        <v>-4.2132619380740834</v>
      </c>
      <c r="H43" s="17">
        <f t="shared" si="5"/>
        <v>17.751576158823781</v>
      </c>
    </row>
    <row r="44" spans="1:11" x14ac:dyDescent="0.25">
      <c r="A44">
        <v>28</v>
      </c>
      <c r="B44">
        <v>199</v>
      </c>
      <c r="C44" s="17">
        <f t="shared" si="0"/>
        <v>208.69103795108938</v>
      </c>
      <c r="D44" s="17">
        <f t="shared" si="1"/>
        <v>4.0620684287705604</v>
      </c>
      <c r="E44" s="21">
        <f t="shared" si="2"/>
        <v>0.91259775591054715</v>
      </c>
      <c r="F44" s="17">
        <f t="shared" si="3"/>
        <v>186.66367843657093</v>
      </c>
      <c r="G44" s="17">
        <f t="shared" si="4"/>
        <v>12.336321563429067</v>
      </c>
      <c r="H44" s="17">
        <f t="shared" si="5"/>
        <v>152.18482971632497</v>
      </c>
    </row>
    <row r="45" spans="1:11" x14ac:dyDescent="0.25">
      <c r="A45">
        <v>29</v>
      </c>
      <c r="B45">
        <v>210</v>
      </c>
      <c r="C45" s="17">
        <f t="shared" si="0"/>
        <v>209.24931430703722</v>
      </c>
      <c r="D45" s="17">
        <f t="shared" si="1"/>
        <v>3.2600001910222973</v>
      </c>
      <c r="E45" s="21">
        <f t="shared" si="2"/>
        <v>1.0430106047420362</v>
      </c>
      <c r="F45" s="17">
        <f t="shared" si="3"/>
        <v>221.90374614600449</v>
      </c>
      <c r="G45" s="17">
        <f t="shared" si="4"/>
        <v>-11.903746146004494</v>
      </c>
      <c r="H45" s="17">
        <f t="shared" si="5"/>
        <v>141.69917230851684</v>
      </c>
    </row>
    <row r="46" spans="1:11" x14ac:dyDescent="0.25">
      <c r="A46">
        <v>30</v>
      </c>
      <c r="B46">
        <v>193</v>
      </c>
      <c r="C46" s="17">
        <f t="shared" si="0"/>
        <v>212.63548894048031</v>
      </c>
      <c r="D46" s="17">
        <f t="shared" si="1"/>
        <v>3.2888833297982201</v>
      </c>
      <c r="E46" s="21">
        <f t="shared" si="2"/>
        <v>0.90644245153667458</v>
      </c>
      <c r="F46" s="17">
        <f t="shared" si="3"/>
        <v>192.62746400799927</v>
      </c>
      <c r="G46" s="17">
        <f t="shared" si="4"/>
        <v>0.37253599200073495</v>
      </c>
      <c r="H46" s="17">
        <f t="shared" si="5"/>
        <v>0.13878306533597165</v>
      </c>
      <c r="K46">
        <f>C45+D45+C$2*(B46-(C45+D45) * E34) /E34</f>
        <v>212.63548894048031</v>
      </c>
    </row>
    <row r="47" spans="1:11" x14ac:dyDescent="0.25">
      <c r="A47">
        <v>31</v>
      </c>
      <c r="B47">
        <v>211</v>
      </c>
      <c r="C47" s="17">
        <f t="shared" si="0"/>
        <v>219.98137506971179</v>
      </c>
      <c r="D47" s="17">
        <f t="shared" si="1"/>
        <v>4.2175894339991213</v>
      </c>
      <c r="E47" s="21">
        <f t="shared" si="2"/>
        <v>0.92083758937691518</v>
      </c>
      <c r="F47" s="17">
        <f t="shared" si="3"/>
        <v>198.83127844908691</v>
      </c>
      <c r="G47" s="17">
        <f t="shared" si="4"/>
        <v>12.168721550913091</v>
      </c>
      <c r="H47" s="17">
        <f t="shared" si="5"/>
        <v>148.07778418365669</v>
      </c>
      <c r="K47">
        <f t="shared" ref="K46:K50" si="6">C46+D46+C$2*(B47-(C46+D46) * E35) /E35</f>
        <v>219.98137506971179</v>
      </c>
    </row>
    <row r="48" spans="1:11" x14ac:dyDescent="0.25">
      <c r="A48">
        <v>32</v>
      </c>
      <c r="B48">
        <v>208</v>
      </c>
      <c r="C48" s="17">
        <f t="shared" si="0"/>
        <v>224.28263613478836</v>
      </c>
      <c r="D48" s="17">
        <f t="shared" si="1"/>
        <v>4.2367430699150104</v>
      </c>
      <c r="E48" s="21">
        <f t="shared" si="2"/>
        <v>0.92662094367181047</v>
      </c>
      <c r="F48" s="17">
        <f t="shared" si="3"/>
        <v>207.74745605867133</v>
      </c>
      <c r="G48" s="17">
        <f t="shared" si="4"/>
        <v>0.25254394132866764</v>
      </c>
      <c r="H48" s="17">
        <f t="shared" si="5"/>
        <v>6.377844230181752E-2</v>
      </c>
      <c r="K48">
        <f t="shared" si="6"/>
        <v>224.28263613478836</v>
      </c>
    </row>
    <row r="49" spans="1:14" x14ac:dyDescent="0.25">
      <c r="A49">
        <v>33</v>
      </c>
      <c r="B49">
        <v>216</v>
      </c>
      <c r="C49" s="17">
        <f t="shared" si="0"/>
        <v>225.44798164319218</v>
      </c>
      <c r="D49" s="17">
        <f t="shared" si="1"/>
        <v>3.533656134850125</v>
      </c>
      <c r="E49" s="21">
        <f t="shared" si="2"/>
        <v>0.98849075287229571</v>
      </c>
      <c r="F49" s="17">
        <f t="shared" si="3"/>
        <v>225.88929319596687</v>
      </c>
      <c r="G49" s="17">
        <f t="shared" si="4"/>
        <v>-9.8892931959668715</v>
      </c>
      <c r="H49" s="17">
        <f t="shared" si="5"/>
        <v>97.798119915796661</v>
      </c>
      <c r="K49">
        <f t="shared" si="6"/>
        <v>225.44798164319218</v>
      </c>
    </row>
    <row r="50" spans="1:14" x14ac:dyDescent="0.25">
      <c r="A50">
        <v>34</v>
      </c>
      <c r="B50">
        <v>218</v>
      </c>
      <c r="C50" s="17">
        <f t="shared" si="0"/>
        <v>224.5432123790184</v>
      </c>
      <c r="D50" s="17">
        <f t="shared" si="1"/>
        <v>2.5176369293199627</v>
      </c>
      <c r="E50" s="21">
        <f t="shared" si="2"/>
        <v>1.0162014531884298</v>
      </c>
      <c r="F50" s="17">
        <f t="shared" si="3"/>
        <v>232.69147306351326</v>
      </c>
      <c r="G50" s="17">
        <f t="shared" si="4"/>
        <v>-14.691473063513257</v>
      </c>
      <c r="H50" s="17">
        <f t="shared" si="5"/>
        <v>215.83938077593561</v>
      </c>
      <c r="K50">
        <f t="shared" si="6"/>
        <v>224.5432123790184</v>
      </c>
    </row>
    <row r="51" spans="1:14" x14ac:dyDescent="0.25">
      <c r="A51">
        <v>35</v>
      </c>
      <c r="B51">
        <v>264</v>
      </c>
      <c r="C51" s="17">
        <f t="shared" si="0"/>
        <v>234.68524904572058</v>
      </c>
      <c r="D51" s="17">
        <f t="shared" si="1"/>
        <v>4.2629713367706428</v>
      </c>
      <c r="E51" s="21">
        <f t="shared" si="2"/>
        <v>1.0480526558060541</v>
      </c>
      <c r="F51" s="17">
        <f t="shared" si="3"/>
        <v>237.97172614718227</v>
      </c>
      <c r="G51" s="17">
        <f t="shared" si="4"/>
        <v>26.028273852817733</v>
      </c>
      <c r="H51" s="17">
        <f t="shared" si="5"/>
        <v>677.47103975727532</v>
      </c>
      <c r="K51">
        <f>C50+D50+C$2*(B51-(C50+D50) * E39) /E39</f>
        <v>234.68524904572058</v>
      </c>
    </row>
    <row r="52" spans="1:14" x14ac:dyDescent="0.25">
      <c r="A52">
        <v>36</v>
      </c>
      <c r="B52">
        <v>304</v>
      </c>
      <c r="C52" s="17">
        <f t="shared" si="0"/>
        <v>243.10579896848199</v>
      </c>
      <c r="D52" s="17">
        <f t="shared" si="1"/>
        <v>5.2147006804240261</v>
      </c>
      <c r="E52" s="21">
        <f>E40+E$2*(1-C$2)*G52/(C51+D51)</f>
        <v>1.2040049076184032</v>
      </c>
      <c r="F52" s="17">
        <f t="shared" si="3"/>
        <v>287.69483000720322</v>
      </c>
      <c r="G52" s="17">
        <f t="shared" si="4"/>
        <v>16.305169992796777</v>
      </c>
      <c r="H52" s="17">
        <f t="shared" si="5"/>
        <v>265.85856849400045</v>
      </c>
      <c r="K52">
        <f>C51+D51+C$2*(B52-(C51+D51) * E40) /E40</f>
        <v>243.10579896848199</v>
      </c>
    </row>
    <row r="53" spans="1:14" x14ac:dyDescent="0.25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  <c r="K53">
        <f>C52+D52+C$2*(B53-(C52+D52) * E41) /E41</f>
        <v>248.32049964890601</v>
      </c>
    </row>
    <row r="54" spans="1:14" x14ac:dyDescent="0.25">
      <c r="A54" s="4">
        <v>38</v>
      </c>
      <c r="B54" s="9">
        <f t="shared" ref="B54:B64" si="7">(C$52+(A54-A$52)*D$52)*E42</f>
        <v>263.53957616912089</v>
      </c>
      <c r="C54" s="4"/>
      <c r="D54" s="4"/>
      <c r="E54" s="4"/>
      <c r="F54" s="4"/>
      <c r="G54" s="4"/>
      <c r="H54" s="4"/>
      <c r="K54">
        <f>C52+D52</f>
        <v>248.32049964890601</v>
      </c>
      <c r="L54" s="2">
        <f>B53-K54</f>
        <v>-2.9218881787842577</v>
      </c>
      <c r="M54">
        <f>C52+D52+(C2*L54)</f>
        <v>247.42346961424039</v>
      </c>
      <c r="N54">
        <f>D52+(C2*D2*L54)</f>
        <v>5.0093576451759629</v>
      </c>
    </row>
    <row r="55" spans="1:14" x14ac:dyDescent="0.25">
      <c r="A55" s="4">
        <v>39</v>
      </c>
      <c r="B55" s="9">
        <f t="shared" si="7"/>
        <v>241.39639687929989</v>
      </c>
      <c r="C55" s="4"/>
      <c r="D55" s="4"/>
      <c r="E55" s="4"/>
      <c r="F55" s="4"/>
      <c r="G55" s="4"/>
      <c r="H55" s="4"/>
    </row>
    <row r="56" spans="1:14" x14ac:dyDescent="0.25">
      <c r="A56" s="4">
        <v>40</v>
      </c>
      <c r="B56" s="9">
        <f t="shared" si="7"/>
        <v>240.89350314227795</v>
      </c>
      <c r="C56" s="4"/>
      <c r="D56" s="4"/>
      <c r="E56" s="4"/>
      <c r="F56" s="4"/>
      <c r="G56" s="4"/>
      <c r="H56" s="4"/>
    </row>
    <row r="57" spans="1:14" x14ac:dyDescent="0.25">
      <c r="A57" s="4">
        <v>41</v>
      </c>
      <c r="B57" s="9">
        <f t="shared" si="7"/>
        <v>280.75686694960115</v>
      </c>
      <c r="C57" s="4"/>
      <c r="D57" s="4"/>
      <c r="E57" s="4"/>
      <c r="F57" s="4"/>
      <c r="G57" s="4"/>
      <c r="H57" s="4"/>
    </row>
    <row r="58" spans="1:14" x14ac:dyDescent="0.25">
      <c r="A58" s="4">
        <v>42</v>
      </c>
      <c r="B58" s="9">
        <f t="shared" si="7"/>
        <v>248.72237281253393</v>
      </c>
      <c r="C58" s="4"/>
      <c r="D58" s="4"/>
      <c r="E58" s="4"/>
      <c r="F58" s="4"/>
      <c r="G58" s="4"/>
      <c r="H58" s="4"/>
    </row>
    <row r="59" spans="1:14" x14ac:dyDescent="0.25">
      <c r="A59" s="4">
        <v>43</v>
      </c>
      <c r="B59" s="9">
        <f t="shared" si="7"/>
        <v>257.47420471287268</v>
      </c>
      <c r="C59" s="4"/>
      <c r="D59" s="4"/>
      <c r="E59" s="4"/>
      <c r="F59" s="4"/>
      <c r="G59" s="4"/>
      <c r="H59" s="4"/>
    </row>
    <row r="60" spans="1:14" x14ac:dyDescent="0.25">
      <c r="A60" s="4">
        <v>44</v>
      </c>
      <c r="B60" s="9">
        <f t="shared" si="7"/>
        <v>263.92333177594861</v>
      </c>
      <c r="C60" s="4"/>
      <c r="D60" s="4"/>
      <c r="E60" s="4"/>
      <c r="F60" s="4"/>
      <c r="G60" s="4"/>
      <c r="H60" s="4"/>
    </row>
    <row r="61" spans="1:14" x14ac:dyDescent="0.25">
      <c r="A61" s="4">
        <v>45</v>
      </c>
      <c r="B61" s="9">
        <f t="shared" si="7"/>
        <v>286.69998486433991</v>
      </c>
      <c r="C61" s="4"/>
      <c r="D61" s="4"/>
      <c r="E61" s="4"/>
      <c r="F61" s="4"/>
      <c r="G61" s="4"/>
      <c r="H61" s="4"/>
    </row>
    <row r="62" spans="1:14" x14ac:dyDescent="0.25">
      <c r="A62" s="4">
        <v>46</v>
      </c>
      <c r="B62" s="9">
        <f t="shared" si="7"/>
        <v>300.03633028420154</v>
      </c>
      <c r="C62" s="4"/>
      <c r="D62" s="4"/>
      <c r="E62" s="4"/>
      <c r="F62" s="4"/>
      <c r="G62" s="4"/>
      <c r="H62" s="4"/>
    </row>
    <row r="63" spans="1:14" x14ac:dyDescent="0.25">
      <c r="A63" s="4">
        <v>47</v>
      </c>
      <c r="B63" s="9">
        <f t="shared" si="7"/>
        <v>314.90576812164261</v>
      </c>
      <c r="C63" s="4"/>
      <c r="D63" s="4"/>
      <c r="E63" s="4"/>
      <c r="F63" s="4"/>
      <c r="G63" s="4"/>
      <c r="H63" s="4"/>
    </row>
    <row r="64" spans="1:14" x14ac:dyDescent="0.25">
      <c r="A64" s="4">
        <v>48</v>
      </c>
      <c r="B64" s="9">
        <f t="shared" si="7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</cols>
  <sheetData>
    <row r="1" spans="1:15" x14ac:dyDescent="0.2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2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2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2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2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2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2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2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2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2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2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2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2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2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2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2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2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2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2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2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2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2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2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2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2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2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2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2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2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2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2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2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2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2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2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2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2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2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2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2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2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sheetData>
    <row r="1" spans="1:8" ht="63" x14ac:dyDescent="0.25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2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2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2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2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2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2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2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2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2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2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2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2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2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2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2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2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2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2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2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2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2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2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2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2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2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2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2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2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2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2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2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2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2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2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2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2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25">
      <c r="A53" s="4">
        <v>37</v>
      </c>
      <c r="B53" s="22">
        <f ca="1">F53+G53</f>
        <v>240.02320238672661</v>
      </c>
      <c r="C53" s="20">
        <f t="shared" ref="C53:C64" ca="1" si="6">C52+D52+C$2*G53/E41</f>
        <v>246.65047009178437</v>
      </c>
      <c r="D53" s="20">
        <f t="shared" ref="D53:D64" ca="1" si="7">D52+D$2*C$2*G53/E41</f>
        <v>4.8311423055401184</v>
      </c>
      <c r="E53" s="20">
        <f t="shared" ca="1" si="2"/>
        <v>0.98823339924446252</v>
      </c>
      <c r="F53" s="20">
        <f t="shared" ref="F53:F64" si="8">(C52+D52)*E41</f>
        <v>245.39994178468311</v>
      </c>
      <c r="G53" s="4">
        <f t="shared" ref="G53:G64" ca="1" si="9">NORMINV(RAND(),0,H$2)</f>
        <v>-5.3767393979565083</v>
      </c>
      <c r="H53" s="4"/>
    </row>
    <row r="54" spans="1:8" x14ac:dyDescent="0.25">
      <c r="A54" s="4">
        <v>38</v>
      </c>
      <c r="B54" s="22">
        <f t="shared" ref="B54:B64" ca="1" si="10">F54+G54</f>
        <v>253.04134185550183</v>
      </c>
      <c r="C54" s="20">
        <f t="shared" ca="1" si="6"/>
        <v>249.00988275038426</v>
      </c>
      <c r="D54" s="20">
        <f t="shared" ca="1" si="7"/>
        <v>4.2662410175336563</v>
      </c>
      <c r="E54" s="20">
        <f t="shared" ca="1" si="2"/>
        <v>1.0394595142086607</v>
      </c>
      <c r="F54" s="20">
        <f t="shared" ca="1" si="8"/>
        <v>261.40495465493359</v>
      </c>
      <c r="G54" s="4">
        <f t="shared" ca="1" si="9"/>
        <v>-8.3636127994317579</v>
      </c>
      <c r="H54" s="4"/>
    </row>
    <row r="55" spans="1:8" x14ac:dyDescent="0.25">
      <c r="A55" s="4">
        <v>39</v>
      </c>
      <c r="B55" s="22">
        <f t="shared" ca="1" si="10"/>
        <v>241.77468984138235</v>
      </c>
      <c r="C55" s="20">
        <f t="shared" ca="1" si="6"/>
        <v>255.08220657093776</v>
      </c>
      <c r="D55" s="20">
        <f t="shared" ca="1" si="7"/>
        <v>4.6790120918035392</v>
      </c>
      <c r="E55" s="20">
        <f t="shared" ca="1" si="2"/>
        <v>0.93293329171244777</v>
      </c>
      <c r="F55" s="20">
        <f t="shared" ca="1" si="8"/>
        <v>236.28972785897298</v>
      </c>
      <c r="G55" s="4">
        <f t="shared" ca="1" si="9"/>
        <v>5.4849619824093638</v>
      </c>
      <c r="H55" s="4"/>
    </row>
    <row r="56" spans="1:8" x14ac:dyDescent="0.25">
      <c r="A56" s="4">
        <v>40</v>
      </c>
      <c r="B56" s="22">
        <f t="shared" ca="1" si="10"/>
        <v>234.88647913456623</v>
      </c>
      <c r="C56" s="20">
        <f t="shared" ca="1" si="6"/>
        <v>259.03041574463032</v>
      </c>
      <c r="D56" s="20">
        <f t="shared" ca="1" si="7"/>
        <v>4.5119907874182443</v>
      </c>
      <c r="E56" s="20">
        <f t="shared" ca="1" si="2"/>
        <v>0.91259775591054715</v>
      </c>
      <c r="F56" s="20">
        <f t="shared" ca="1" si="8"/>
        <v>237.05750522420664</v>
      </c>
      <c r="G56" s="4">
        <f t="shared" ca="1" si="9"/>
        <v>-2.1710260896404137</v>
      </c>
      <c r="H56" s="4"/>
    </row>
    <row r="57" spans="1:8" x14ac:dyDescent="0.25">
      <c r="A57" s="4">
        <v>41</v>
      </c>
      <c r="B57" s="22">
        <f t="shared" ca="1" si="10"/>
        <v>278.25935916713388</v>
      </c>
      <c r="C57" s="20">
        <f t="shared" ca="1" si="6"/>
        <v>264.53844986858832</v>
      </c>
      <c r="D57" s="20">
        <f t="shared" ca="1" si="7"/>
        <v>4.7396314456180937</v>
      </c>
      <c r="E57" s="20">
        <f t="shared" ca="1" si="2"/>
        <v>1.0430106047420362</v>
      </c>
      <c r="F57" s="20">
        <f t="shared" ca="1" si="8"/>
        <v>274.87752481216353</v>
      </c>
      <c r="G57" s="4">
        <f t="shared" ca="1" si="9"/>
        <v>3.381834354970358</v>
      </c>
      <c r="H57" s="4"/>
    </row>
    <row r="58" spans="1:8" x14ac:dyDescent="0.25">
      <c r="A58" s="4">
        <v>42</v>
      </c>
      <c r="B58" s="22">
        <f t="shared" ca="1" si="10"/>
        <v>242.34004893315804</v>
      </c>
      <c r="C58" s="20">
        <f t="shared" ca="1" si="6"/>
        <v>268.6866850300425</v>
      </c>
      <c r="D58" s="20">
        <f t="shared" ca="1" si="7"/>
        <v>4.6044708211298904</v>
      </c>
      <c r="E58" s="20">
        <f t="shared" ca="1" si="2"/>
        <v>0.90644245153667458</v>
      </c>
      <c r="F58" s="20">
        <f t="shared" ca="1" si="8"/>
        <v>244.08508417154127</v>
      </c>
      <c r="G58" s="4">
        <f t="shared" ca="1" si="9"/>
        <v>-1.7450352383832117</v>
      </c>
      <c r="H58" s="4"/>
    </row>
    <row r="59" spans="1:8" x14ac:dyDescent="0.25">
      <c r="A59" s="4">
        <v>43</v>
      </c>
      <c r="B59" s="22">
        <f t="shared" ca="1" si="10"/>
        <v>233.36511125113273</v>
      </c>
      <c r="C59" s="20">
        <f t="shared" ca="1" si="6"/>
        <v>267.18898085558487</v>
      </c>
      <c r="D59" s="20">
        <f t="shared" ca="1" si="7"/>
        <v>3.2098496420233982</v>
      </c>
      <c r="E59" s="20">
        <f t="shared" ca="1" si="2"/>
        <v>0.92083758937691518</v>
      </c>
      <c r="F59" s="20">
        <f t="shared" ca="1" si="8"/>
        <v>251.65676915202442</v>
      </c>
      <c r="G59" s="4">
        <f t="shared" ca="1" si="9"/>
        <v>-18.291657900891693</v>
      </c>
      <c r="H59" s="4"/>
    </row>
    <row r="60" spans="1:8" x14ac:dyDescent="0.25">
      <c r="A60" s="4">
        <v>44</v>
      </c>
      <c r="B60" s="22">
        <f t="shared" ca="1" si="10"/>
        <v>247.67227024540617</v>
      </c>
      <c r="C60" s="20">
        <f t="shared" ca="1" si="6"/>
        <v>269.44240600149539</v>
      </c>
      <c r="D60" s="20">
        <f t="shared" ca="1" si="7"/>
        <v>2.991263669077719</v>
      </c>
      <c r="E60" s="20">
        <f t="shared" ca="1" si="2"/>
        <v>0.92662094367181047</v>
      </c>
      <c r="F60" s="20">
        <f t="shared" ca="1" si="8"/>
        <v>250.55721948344771</v>
      </c>
      <c r="G60" s="4">
        <f t="shared" ca="1" si="9"/>
        <v>-2.8849492380415565</v>
      </c>
      <c r="H60" s="4"/>
    </row>
    <row r="61" spans="1:8" x14ac:dyDescent="0.25">
      <c r="A61" s="4">
        <v>45</v>
      </c>
      <c r="B61" s="22">
        <f t="shared" ca="1" si="10"/>
        <v>258.91835732028966</v>
      </c>
      <c r="C61" s="20">
        <f t="shared" ca="1" si="6"/>
        <v>269.20791563598618</v>
      </c>
      <c r="D61" s="20">
        <f t="shared" ca="1" si="7"/>
        <v>2.2540339274731034</v>
      </c>
      <c r="E61" s="20">
        <f t="shared" ca="1" si="2"/>
        <v>0.98849075287229571</v>
      </c>
      <c r="F61" s="20">
        <f t="shared" ca="1" si="8"/>
        <v>269.29816324042713</v>
      </c>
      <c r="G61" s="4">
        <f t="shared" ca="1" si="9"/>
        <v>-10.379805920137473</v>
      </c>
      <c r="H61" s="4"/>
    </row>
    <row r="62" spans="1:8" x14ac:dyDescent="0.25">
      <c r="A62" s="4">
        <v>46</v>
      </c>
      <c r="B62" s="22">
        <f t="shared" ca="1" si="10"/>
        <v>277.2367493813083</v>
      </c>
      <c r="C62" s="20">
        <f t="shared" ca="1" si="6"/>
        <v>271.87812935536004</v>
      </c>
      <c r="D62" s="20">
        <f t="shared" ca="1" si="7"/>
        <v>2.349149710373565</v>
      </c>
      <c r="E62" s="20">
        <f t="shared" ca="1" si="2"/>
        <v>1.0162014531884298</v>
      </c>
      <c r="F62" s="20">
        <f t="shared" ca="1" si="8"/>
        <v>275.86002763175162</v>
      </c>
      <c r="G62" s="4">
        <f t="shared" ca="1" si="9"/>
        <v>1.3767217495566781</v>
      </c>
      <c r="H62" s="4"/>
    </row>
    <row r="63" spans="1:8" x14ac:dyDescent="0.25">
      <c r="A63" s="4">
        <v>47</v>
      </c>
      <c r="B63" s="22">
        <f t="shared" ca="1" si="10"/>
        <v>282.14393493145661</v>
      </c>
      <c r="C63" s="20">
        <f t="shared" ca="1" si="6"/>
        <v>272.68531413064306</v>
      </c>
      <c r="D63" s="20">
        <f t="shared" ca="1" si="7"/>
        <v>1.9967414366888778</v>
      </c>
      <c r="E63" s="20">
        <f t="shared" ca="1" si="2"/>
        <v>1.0480526558060541</v>
      </c>
      <c r="F63" s="20">
        <f t="shared" ca="1" si="8"/>
        <v>287.40462811931008</v>
      </c>
      <c r="G63" s="4">
        <f t="shared" ca="1" si="9"/>
        <v>-5.2606931878534571</v>
      </c>
      <c r="H63" s="4"/>
    </row>
    <row r="64" spans="1:8" x14ac:dyDescent="0.25">
      <c r="A64" s="4">
        <v>48</v>
      </c>
      <c r="B64" s="22">
        <f t="shared" ca="1" si="10"/>
        <v>342.83248213755564</v>
      </c>
      <c r="C64" s="20">
        <f t="shared" ca="1" si="6"/>
        <v>277.77286165739042</v>
      </c>
      <c r="D64" s="20">
        <f t="shared" ca="1" si="7"/>
        <v>2.7031295092734591</v>
      </c>
      <c r="E64" s="20">
        <f t="shared" ca="1" si="2"/>
        <v>1.2040049076184032</v>
      </c>
      <c r="F64" s="20">
        <f t="shared" ca="1" si="8"/>
        <v>330.71854293777858</v>
      </c>
      <c r="G64" s="4">
        <f t="shared" ca="1" si="9"/>
        <v>12.113939199777089</v>
      </c>
      <c r="H64" s="4"/>
    </row>
    <row r="65" spans="1:12" x14ac:dyDescent="0.25">
      <c r="B65" s="17"/>
      <c r="C65" s="17"/>
      <c r="D65" s="17"/>
      <c r="E65" s="17"/>
      <c r="F65" s="17"/>
    </row>
    <row r="66" spans="1:12" x14ac:dyDescent="0.25">
      <c r="A66" s="17">
        <f t="shared" ref="A66:L66" si="11">PERCENTILE(A71:A1070,0.975)</f>
        <v>263.59245750561206</v>
      </c>
      <c r="B66" s="17">
        <f t="shared" si="11"/>
        <v>284.284801306921</v>
      </c>
      <c r="C66" s="17">
        <f t="shared" si="11"/>
        <v>264.70011181000552</v>
      </c>
      <c r="D66" s="17">
        <f t="shared" si="11"/>
        <v>266.19742620443674</v>
      </c>
      <c r="E66" s="17">
        <f t="shared" si="11"/>
        <v>309.37897767414205</v>
      </c>
      <c r="F66" s="17">
        <f t="shared" si="11"/>
        <v>279.54575840041991</v>
      </c>
      <c r="G66" s="17">
        <f t="shared" si="11"/>
        <v>291.2321275881547</v>
      </c>
      <c r="H66" s="17">
        <f t="shared" si="11"/>
        <v>300.17027822551393</v>
      </c>
      <c r="I66" s="17">
        <f t="shared" si="11"/>
        <v>326.65430029243771</v>
      </c>
      <c r="J66" s="17">
        <f t="shared" si="11"/>
        <v>348.2146780049311</v>
      </c>
      <c r="K66" s="17">
        <f t="shared" si="11"/>
        <v>370.74384800556328</v>
      </c>
      <c r="L66" s="17">
        <f t="shared" si="11"/>
        <v>436.81685648284679</v>
      </c>
    </row>
    <row r="67" spans="1:12" x14ac:dyDescent="0.25">
      <c r="A67" s="17">
        <f t="shared" ref="A67:L67" si="12">PERCENTILE(A71:A1070,0.025)</f>
        <v>223.96016591362732</v>
      </c>
      <c r="B67" s="17">
        <f t="shared" si="12"/>
        <v>240.79282637587986</v>
      </c>
      <c r="C67" s="17">
        <f t="shared" si="12"/>
        <v>218.67648164320588</v>
      </c>
      <c r="D67" s="17">
        <f t="shared" si="12"/>
        <v>216.81984892572046</v>
      </c>
      <c r="E67" s="17">
        <f t="shared" si="12"/>
        <v>251.66146193030249</v>
      </c>
      <c r="F67" s="17">
        <f t="shared" si="12"/>
        <v>220.2130080085208</v>
      </c>
      <c r="G67" s="17">
        <f t="shared" si="12"/>
        <v>224.33027669983619</v>
      </c>
      <c r="H67" s="17">
        <f t="shared" si="12"/>
        <v>230.7294852765398</v>
      </c>
      <c r="I67" s="17">
        <f t="shared" si="12"/>
        <v>243.52656472343065</v>
      </c>
      <c r="J67" s="17">
        <f t="shared" si="12"/>
        <v>254.12894070199349</v>
      </c>
      <c r="K67" s="17">
        <f t="shared" si="12"/>
        <v>263.29319999064705</v>
      </c>
      <c r="L67" s="17">
        <f t="shared" si="12"/>
        <v>302.76810484369963</v>
      </c>
    </row>
    <row r="69" spans="1:12" x14ac:dyDescent="0.25">
      <c r="A69" t="s">
        <v>19</v>
      </c>
    </row>
    <row r="70" spans="1:12" x14ac:dyDescent="0.2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2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2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2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2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2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2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2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2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2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2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2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2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2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2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2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2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2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2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2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2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2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2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2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2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2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2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2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2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2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2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2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2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2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2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2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2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2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2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2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2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2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2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2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2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2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2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2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2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2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2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2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2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2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2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2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2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2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2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2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2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2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2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2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2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2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2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2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2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2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2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2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2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2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2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2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2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2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2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2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2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2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2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2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2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2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2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2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2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2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2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2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2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2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2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2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2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2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2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2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2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2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2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2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2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2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2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2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2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2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2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2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2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2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2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2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2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2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2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2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2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2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2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2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2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2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2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2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2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2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2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2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2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2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2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2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2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2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2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2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2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2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2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2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2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2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2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2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2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2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2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2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2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2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2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2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2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2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2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2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2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2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2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2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2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2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2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2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2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2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2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2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2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2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2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2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2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2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2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2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2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2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2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2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2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2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2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2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2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2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2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2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2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2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2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2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2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2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2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2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2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2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2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2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2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2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2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2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2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2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2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2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2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2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2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2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2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2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2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2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2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2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2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2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2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2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2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2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2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2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2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2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2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2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2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2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2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2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2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2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2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2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2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2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2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2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2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2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2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2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2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2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2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2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2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2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2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2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2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2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2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2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2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2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2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2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2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2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2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2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2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2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2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2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2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2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2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2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2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2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2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2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2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2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2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2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2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2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2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2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2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2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2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2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2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2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2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2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2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2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2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2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2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2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2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2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2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2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2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2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2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2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2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2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2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2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2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2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2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2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2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2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2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2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2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2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2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2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2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2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2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2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2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2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2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2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2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2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2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2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2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2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2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2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2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2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2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2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2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2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2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2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2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2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2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2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2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2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2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2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2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2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2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2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2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2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2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2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2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2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2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2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2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2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2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2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2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2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2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2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2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2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2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2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2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2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2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2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2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2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2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2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2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2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2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2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2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2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2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2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2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2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2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2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2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2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2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2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2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2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2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2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2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2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2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2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2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2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2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2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2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2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2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2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2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2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2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2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2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2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2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2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2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2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2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2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2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2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2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2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2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2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2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2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2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2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2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2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2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2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2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2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2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2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2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2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2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2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2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2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2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2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2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2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2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2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2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2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2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2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2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2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2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2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2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2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2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2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2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2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2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2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2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2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2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2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2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2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2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2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2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2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2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2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2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2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2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2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2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2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2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2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2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2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2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2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2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2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2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2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2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2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2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2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2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2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2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2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2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2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2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2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2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2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2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2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2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2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2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2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2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2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2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2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2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2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2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2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2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2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2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2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2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2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2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2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2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2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2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2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2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2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2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2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2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2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2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2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2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2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2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2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2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2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2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2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2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2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2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2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2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2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2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2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2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2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2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2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2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2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2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2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2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2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2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2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2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2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2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2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2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2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2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2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2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2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2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2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2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2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2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2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2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2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2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2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2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2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2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2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2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2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2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2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2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2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2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2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2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2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2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2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2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2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2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2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2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2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2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2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2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2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2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2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2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2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2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2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2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2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2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2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2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2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2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2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2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2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2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2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2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2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2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2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2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2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2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2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2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2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2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2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2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2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2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2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2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2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2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2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2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2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2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2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2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2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2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2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2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2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2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2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2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2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2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2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2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2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2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2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2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2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2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2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2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2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2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2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2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2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2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2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2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2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2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2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2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2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2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2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2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2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2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2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2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2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2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2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2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2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2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2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2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2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2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2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2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2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2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2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2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2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2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2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2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2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2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2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2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2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2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2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2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2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2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2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2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2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2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2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2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2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2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2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2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2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2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2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2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2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2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2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2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2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2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2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2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2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2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2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2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2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2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2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2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2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2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2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2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2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2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2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2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2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2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2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2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2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2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2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2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2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2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2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2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2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2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2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2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2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2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2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2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2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2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2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2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2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2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2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2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2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2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2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2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2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2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2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2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2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2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2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2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2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2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2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2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2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2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2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2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2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2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2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2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2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2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2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2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2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2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2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2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2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2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2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2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2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2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2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2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2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2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2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2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2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2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2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2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2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2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2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2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2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2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2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2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2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2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2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2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2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2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2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2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2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2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2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2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2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2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2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2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2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2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2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2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2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2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2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2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2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2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2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2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2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2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2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2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2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2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2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2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2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2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2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2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2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2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2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2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2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2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2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2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2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2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2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2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2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2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2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2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2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2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2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2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2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2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2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2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2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2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2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2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2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2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2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2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2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2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2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2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2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2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2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2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2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2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2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2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2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2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2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2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2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2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2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2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2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2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2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2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2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2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2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2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2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2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2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2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2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2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2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2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2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2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2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2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2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2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2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2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2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2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2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2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2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2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2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2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2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2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2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2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2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2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2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2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2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2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4"/>
  <sheetViews>
    <sheetView workbookViewId="0"/>
  </sheetViews>
  <sheetFormatPr defaultColWidth="11" defaultRowHeight="15.75" x14ac:dyDescent="0.25"/>
  <sheetData>
    <row r="1" spans="1:12" x14ac:dyDescent="0.2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2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2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2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Stefan</cp:lastModifiedBy>
  <dcterms:created xsi:type="dcterms:W3CDTF">2013-04-01T16:41:05Z</dcterms:created>
  <dcterms:modified xsi:type="dcterms:W3CDTF">2020-02-20T22:50:37Z</dcterms:modified>
</cp:coreProperties>
</file>