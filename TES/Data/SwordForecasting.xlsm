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fan\source\repos\TES\TES\Data\"/>
    </mc:Choice>
  </mc:AlternateContent>
  <xr:revisionPtr revIDLastSave="0" documentId="13_ncr:1_{A757629A-2ACC-4D45-B9D8-EF088F93C98E}" xr6:coauthVersionLast="44" xr6:coauthVersionMax="44" xr10:uidLastSave="{00000000-0000-0000-0000-000000000000}"/>
  <bookViews>
    <workbookView xWindow="11745" yWindow="1845" windowWidth="15060" windowHeight="10080" tabRatio="953" activeTab="5" xr2:uid="{00000000-000D-0000-FFFF-FFFF00000000}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6" i="7" l="1"/>
  <c r="S6" i="7"/>
  <c r="T6" i="7"/>
  <c r="U6" i="7" s="1"/>
  <c r="R6" i="7" l="1"/>
  <c r="T7" i="7" s="1"/>
  <c r="U7" i="7" s="1"/>
  <c r="B41" i="2"/>
  <c r="B40" i="2"/>
  <c r="B39" i="2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4" i="6" s="1"/>
  <c r="H5" i="6" s="1"/>
  <c r="I6" i="6" s="1"/>
  <c r="J7" i="6" s="1"/>
  <c r="K8" i="6" s="1"/>
  <c r="L9" i="6" s="1"/>
  <c r="M10" i="6" s="1"/>
  <c r="N11" i="6" s="1"/>
  <c r="O12" i="6" s="1"/>
  <c r="G3" i="6"/>
  <c r="H4" i="6" s="1"/>
  <c r="I5" i="6" s="1"/>
  <c r="J6" i="6" s="1"/>
  <c r="K7" i="6" s="1"/>
  <c r="L8" i="6" s="1"/>
  <c r="M9" i="6" s="1"/>
  <c r="N10" i="6" s="1"/>
  <c r="O11" i="6" s="1"/>
  <c r="H3" i="6"/>
  <c r="I4" i="6" s="1"/>
  <c r="J5" i="6" s="1"/>
  <c r="K6" i="6" s="1"/>
  <c r="L7" i="6" s="1"/>
  <c r="M8" i="6" s="1"/>
  <c r="N9" i="6" s="1"/>
  <c r="O10" i="6" s="1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L3" i="6"/>
  <c r="M4" i="6" s="1"/>
  <c r="N5" i="6" s="1"/>
  <c r="O6" i="6" s="1"/>
  <c r="M3" i="6"/>
  <c r="N4" i="6" s="1"/>
  <c r="O5" i="6" s="1"/>
  <c r="N3" i="6"/>
  <c r="O4" i="6" s="1"/>
  <c r="O3" i="6"/>
  <c r="K4" i="6"/>
  <c r="L5" i="6" s="1"/>
  <c r="M6" i="6" s="1"/>
  <c r="N7" i="6" s="1"/>
  <c r="O8" i="6" s="1"/>
  <c r="N6" i="6"/>
  <c r="O7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17" i="6"/>
  <c r="D18" i="6" s="1"/>
  <c r="E19" i="6" s="1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9" i="6"/>
  <c r="D30" i="6" s="1"/>
  <c r="E31" i="6" s="1"/>
  <c r="F32" i="6" s="1"/>
  <c r="G33" i="6" s="1"/>
  <c r="H34" i="6" s="1"/>
  <c r="I35" i="6" s="1"/>
  <c r="J36" i="6" s="1"/>
  <c r="K37" i="6" s="1"/>
  <c r="C33" i="6"/>
  <c r="D34" i="6" s="1"/>
  <c r="E35" i="6" s="1"/>
  <c r="F36" i="6" s="1"/>
  <c r="G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9" i="18" s="1"/>
  <c r="C11" i="18"/>
  <c r="O23" i="18" s="1"/>
  <c r="C10" i="18"/>
  <c r="L19" i="18" s="1"/>
  <c r="C6" i="18"/>
  <c r="F9" i="18" s="1"/>
  <c r="L15" i="18"/>
  <c r="C2" i="18"/>
  <c r="O14" i="18"/>
  <c r="O13" i="18"/>
  <c r="N13" i="18"/>
  <c r="O12" i="18"/>
  <c r="N12" i="18"/>
  <c r="M12" i="18"/>
  <c r="O11" i="18"/>
  <c r="N11" i="18"/>
  <c r="M11" i="18"/>
  <c r="L11" i="18"/>
  <c r="H11" i="18"/>
  <c r="O10" i="18"/>
  <c r="N10" i="18"/>
  <c r="M10" i="18"/>
  <c r="L10" i="18"/>
  <c r="K10" i="18"/>
  <c r="O9" i="18"/>
  <c r="N9" i="18"/>
  <c r="M9" i="18"/>
  <c r="L9" i="18"/>
  <c r="K9" i="18"/>
  <c r="J9" i="18"/>
  <c r="O8" i="18"/>
  <c r="N8" i="18"/>
  <c r="M8" i="18"/>
  <c r="L8" i="18"/>
  <c r="K8" i="18"/>
  <c r="J8" i="18"/>
  <c r="I8" i="18"/>
  <c r="O7" i="18"/>
  <c r="N7" i="18"/>
  <c r="M7" i="18"/>
  <c r="L7" i="18"/>
  <c r="K7" i="18"/>
  <c r="J7" i="18"/>
  <c r="I7" i="18"/>
  <c r="H7" i="18"/>
  <c r="O6" i="18"/>
  <c r="N6" i="18"/>
  <c r="M6" i="18"/>
  <c r="L6" i="18"/>
  <c r="K6" i="18"/>
  <c r="J6" i="18"/>
  <c r="I6" i="18"/>
  <c r="H6" i="18"/>
  <c r="G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/>
  <c r="C27" i="13"/>
  <c r="D27" i="13" s="1"/>
  <c r="C16" i="13"/>
  <c r="D16" i="13" s="1"/>
  <c r="E4" i="13" s="1"/>
  <c r="F4" i="13" s="1"/>
  <c r="C28" i="13"/>
  <c r="D28" i="13" s="1"/>
  <c r="C17" i="13"/>
  <c r="D17" i="13" s="1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C20" i="13"/>
  <c r="D20" i="13" s="1"/>
  <c r="E8" i="13" s="1"/>
  <c r="F8" i="13" s="1"/>
  <c r="C9" i="13"/>
  <c r="D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C12" i="13"/>
  <c r="D12" i="13" s="1"/>
  <c r="C24" i="13"/>
  <c r="D24" i="13" s="1"/>
  <c r="C13" i="13"/>
  <c r="D13" i="13" s="1"/>
  <c r="E13" i="13" s="1"/>
  <c r="F13" i="13" s="1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 s="1"/>
  <c r="G6" i="5" s="1"/>
  <c r="C5" i="3"/>
  <c r="D6" i="3" s="1"/>
  <c r="E6" i="3" s="1"/>
  <c r="F6" i="3" s="1"/>
  <c r="S7" i="7" l="1"/>
  <c r="V7" i="7"/>
  <c r="R7" i="7"/>
  <c r="I12" i="18"/>
  <c r="I17" i="18"/>
  <c r="E8" i="18"/>
  <c r="N17" i="18"/>
  <c r="C7" i="18"/>
  <c r="E11" i="13"/>
  <c r="F11" i="13" s="1"/>
  <c r="E3" i="13"/>
  <c r="F3" i="13" s="1"/>
  <c r="D7" i="18"/>
  <c r="C3" i="18"/>
  <c r="M21" i="18"/>
  <c r="C14" i="18"/>
  <c r="O31" i="18"/>
  <c r="E21" i="18"/>
  <c r="I25" i="18"/>
  <c r="M29" i="18"/>
  <c r="C35" i="6"/>
  <c r="D36" i="6" s="1"/>
  <c r="E37" i="6" s="1"/>
  <c r="C31" i="6"/>
  <c r="D32" i="6" s="1"/>
  <c r="E33" i="6" s="1"/>
  <c r="F34" i="6" s="1"/>
  <c r="G35" i="6" s="1"/>
  <c r="H36" i="6" s="1"/>
  <c r="I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C15" i="6"/>
  <c r="D16" i="6" s="1"/>
  <c r="E17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7" i="6"/>
  <c r="D8" i="6" s="1"/>
  <c r="E9" i="6" s="1"/>
  <c r="F10" i="6" s="1"/>
  <c r="G11" i="6" s="1"/>
  <c r="H12" i="6" s="1"/>
  <c r="I13" i="6" s="1"/>
  <c r="J14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18" i="18"/>
  <c r="L27" i="18" s="1"/>
  <c r="C23" i="18"/>
  <c r="C34" i="6"/>
  <c r="D35" i="6" s="1"/>
  <c r="E36" i="6" s="1"/>
  <c r="F37" i="6" s="1"/>
  <c r="C30" i="6"/>
  <c r="D31" i="6" s="1"/>
  <c r="E32" i="6" s="1"/>
  <c r="F33" i="6" s="1"/>
  <c r="G34" i="6" s="1"/>
  <c r="H35" i="6" s="1"/>
  <c r="I36" i="6" s="1"/>
  <c r="J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2" i="6"/>
  <c r="B42" i="2"/>
  <c r="E7" i="13"/>
  <c r="F7" i="13" s="1"/>
  <c r="E5" i="13"/>
  <c r="F5" i="13" s="1"/>
  <c r="E9" i="13"/>
  <c r="F9" i="13" s="1"/>
  <c r="D15" i="18"/>
  <c r="F17" i="18"/>
  <c r="C15" i="18"/>
  <c r="N26" i="18" s="1"/>
  <c r="C36" i="6"/>
  <c r="D37" i="6" s="1"/>
  <c r="C32" i="6"/>
  <c r="D33" i="6" s="1"/>
  <c r="E34" i="6" s="1"/>
  <c r="F35" i="6" s="1"/>
  <c r="G36" i="6" s="1"/>
  <c r="H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F18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L24" i="18"/>
  <c r="J22" i="18"/>
  <c r="H20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T8" i="7" l="1"/>
  <c r="U8" i="7" s="1"/>
  <c r="V8" i="7" s="1"/>
  <c r="F18" i="18"/>
  <c r="N25" i="18"/>
  <c r="H19" i="18"/>
  <c r="J21" i="18"/>
  <c r="L23" i="18"/>
  <c r="O15" i="18"/>
  <c r="H8" i="18"/>
  <c r="F6" i="18"/>
  <c r="J10" i="18"/>
  <c r="I9" i="18"/>
  <c r="O19" i="18"/>
  <c r="H12" i="18"/>
  <c r="F10" i="18"/>
  <c r="E9" i="18"/>
  <c r="K15" i="18"/>
  <c r="I13" i="18"/>
  <c r="D8" i="18"/>
  <c r="K23" i="18"/>
  <c r="G19" i="18"/>
  <c r="O27" i="18"/>
  <c r="K31" i="18"/>
  <c r="G27" i="18"/>
  <c r="O35" i="18"/>
  <c r="D3" i="6"/>
  <c r="E4" i="6" s="1"/>
  <c r="C38" i="6"/>
  <c r="D38" i="6"/>
  <c r="F18" i="7"/>
  <c r="G18" i="7" s="1"/>
  <c r="C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R8" i="7" l="1"/>
  <c r="S8" i="7"/>
  <c r="D18" i="7"/>
  <c r="C7" i="5"/>
  <c r="D7" i="5"/>
  <c r="F5" i="6"/>
  <c r="E38" i="6"/>
  <c r="E40" i="6" s="1"/>
  <c r="D40" i="6"/>
  <c r="M38" i="18"/>
  <c r="M40" i="18" s="1"/>
  <c r="J38" i="18"/>
  <c r="J40" i="18" s="1"/>
  <c r="F38" i="18"/>
  <c r="F40" i="18" s="1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C7" i="3"/>
  <c r="E8" i="5"/>
  <c r="F8" i="5" s="1"/>
  <c r="G8" i="5" s="1"/>
  <c r="L16" i="6"/>
  <c r="H18" i="11"/>
  <c r="E18" i="11"/>
  <c r="E18" i="7"/>
  <c r="H18" i="7"/>
  <c r="D18" i="11"/>
  <c r="T9" i="7" l="1"/>
  <c r="U9" i="7" s="1"/>
  <c r="V9" i="7" s="1"/>
  <c r="F19" i="7"/>
  <c r="G19" i="7" s="1"/>
  <c r="C19" i="7" s="1"/>
  <c r="D8" i="5"/>
  <c r="G6" i="6"/>
  <c r="F38" i="6"/>
  <c r="F40" i="6" s="1"/>
  <c r="M17" i="6"/>
  <c r="C8" i="5"/>
  <c r="F19" i="11"/>
  <c r="G19" i="11" s="1"/>
  <c r="D8" i="3"/>
  <c r="E8" i="3" s="1"/>
  <c r="F8" i="3" s="1"/>
  <c r="I21" i="6"/>
  <c r="S9" i="7" l="1"/>
  <c r="R9" i="7"/>
  <c r="E19" i="7"/>
  <c r="H19" i="7"/>
  <c r="D19" i="7"/>
  <c r="H7" i="6"/>
  <c r="G38" i="6"/>
  <c r="G40" i="6" s="1"/>
  <c r="H19" i="11"/>
  <c r="E19" i="11"/>
  <c r="C19" i="11"/>
  <c r="N18" i="6"/>
  <c r="J22" i="6"/>
  <c r="C8" i="3"/>
  <c r="D19" i="11"/>
  <c r="E9" i="5"/>
  <c r="F9" i="5" s="1"/>
  <c r="C9" i="5" s="1"/>
  <c r="T10" i="7" l="1"/>
  <c r="U10" i="7" s="1"/>
  <c r="V10" i="7" s="1"/>
  <c r="F20" i="7"/>
  <c r="G20" i="7" s="1"/>
  <c r="I8" i="6"/>
  <c r="H38" i="6"/>
  <c r="H40" i="6" s="1"/>
  <c r="E10" i="5"/>
  <c r="F10" i="5" s="1"/>
  <c r="G10" i="5" s="1"/>
  <c r="G9" i="5"/>
  <c r="D9" i="5"/>
  <c r="K23" i="6"/>
  <c r="D9" i="3"/>
  <c r="E9" i="3" s="1"/>
  <c r="F9" i="3" s="1"/>
  <c r="O19" i="6"/>
  <c r="F20" i="11"/>
  <c r="G20" i="11" s="1"/>
  <c r="D20" i="11" s="1"/>
  <c r="S10" i="7" l="1"/>
  <c r="R10" i="7"/>
  <c r="C20" i="7"/>
  <c r="D20" i="7"/>
  <c r="H20" i="7"/>
  <c r="E20" i="7"/>
  <c r="C9" i="3"/>
  <c r="C20" i="11"/>
  <c r="J9" i="6"/>
  <c r="I38" i="6"/>
  <c r="I40" i="6" s="1"/>
  <c r="D10" i="5"/>
  <c r="F21" i="11"/>
  <c r="G21" i="11" s="1"/>
  <c r="D10" i="3"/>
  <c r="E10" i="3" s="1"/>
  <c r="F10" i="3" s="1"/>
  <c r="C10" i="3"/>
  <c r="H20" i="11"/>
  <c r="E20" i="11"/>
  <c r="L24" i="6"/>
  <c r="C10" i="5"/>
  <c r="T11" i="7" l="1"/>
  <c r="U11" i="7" s="1"/>
  <c r="V11" i="7" s="1"/>
  <c r="F21" i="7"/>
  <c r="G21" i="7" s="1"/>
  <c r="K10" i="6"/>
  <c r="J38" i="6"/>
  <c r="J40" i="6" s="1"/>
  <c r="H21" i="11"/>
  <c r="E21" i="11"/>
  <c r="D11" i="3"/>
  <c r="E11" i="3" s="1"/>
  <c r="F11" i="3" s="1"/>
  <c r="C11" i="3"/>
  <c r="M25" i="6"/>
  <c r="E11" i="5"/>
  <c r="F11" i="5" s="1"/>
  <c r="G11" i="5" s="1"/>
  <c r="C21" i="11"/>
  <c r="D21" i="11"/>
  <c r="R11" i="7" l="1"/>
  <c r="S11" i="7"/>
  <c r="T12" i="7" s="1"/>
  <c r="U12" i="7" s="1"/>
  <c r="V12" i="7" s="1"/>
  <c r="D21" i="7"/>
  <c r="H21" i="7"/>
  <c r="E21" i="7"/>
  <c r="C21" i="7"/>
  <c r="L11" i="6"/>
  <c r="K38" i="6"/>
  <c r="K40" i="6" s="1"/>
  <c r="D12" i="3"/>
  <c r="E12" i="3" s="1"/>
  <c r="F12" i="3" s="1"/>
  <c r="F22" i="11"/>
  <c r="G22" i="11" s="1"/>
  <c r="C11" i="5"/>
  <c r="N26" i="6"/>
  <c r="D11" i="5"/>
  <c r="R12" i="7" l="1"/>
  <c r="S12" i="7"/>
  <c r="F22" i="7"/>
  <c r="G22" i="7" s="1"/>
  <c r="D22" i="7" s="1"/>
  <c r="M12" i="6"/>
  <c r="L38" i="6"/>
  <c r="L40" i="6" s="1"/>
  <c r="O27" i="6"/>
  <c r="C12" i="3"/>
  <c r="E12" i="5"/>
  <c r="F12" i="5" s="1"/>
  <c r="G12" i="5" s="1"/>
  <c r="H22" i="11"/>
  <c r="E22" i="11"/>
  <c r="D22" i="11"/>
  <c r="C22" i="11"/>
  <c r="T13" i="7" l="1"/>
  <c r="U13" i="7" s="1"/>
  <c r="V13" i="7" s="1"/>
  <c r="H22" i="7"/>
  <c r="E22" i="7"/>
  <c r="C22" i="7"/>
  <c r="F23" i="7" s="1"/>
  <c r="G23" i="7" s="1"/>
  <c r="C23" i="7" s="1"/>
  <c r="N13" i="6"/>
  <c r="M38" i="6"/>
  <c r="M40" i="6" s="1"/>
  <c r="F23" i="11"/>
  <c r="G23" i="11" s="1"/>
  <c r="C12" i="5"/>
  <c r="D12" i="5"/>
  <c r="D13" i="3"/>
  <c r="E13" i="3" s="1"/>
  <c r="F13" i="3" s="1"/>
  <c r="S13" i="7" l="1"/>
  <c r="R13" i="7"/>
  <c r="H23" i="7"/>
  <c r="D23" i="7"/>
  <c r="F24" i="7" s="1"/>
  <c r="G24" i="7" s="1"/>
  <c r="C24" i="7" s="1"/>
  <c r="E23" i="7"/>
  <c r="O14" i="6"/>
  <c r="O38" i="6" s="1"/>
  <c r="O40" i="6" s="1"/>
  <c r="N38" i="6"/>
  <c r="N40" i="6" s="1"/>
  <c r="H23" i="11"/>
  <c r="E23" i="11"/>
  <c r="C23" i="11"/>
  <c r="E13" i="5"/>
  <c r="F13" i="5" s="1"/>
  <c r="G13" i="5" s="1"/>
  <c r="C13" i="3"/>
  <c r="D23" i="11"/>
  <c r="T14" i="7" l="1"/>
  <c r="U14" i="7" s="1"/>
  <c r="V14" i="7" s="1"/>
  <c r="C13" i="5"/>
  <c r="D13" i="5"/>
  <c r="E14" i="5" s="1"/>
  <c r="F14" i="5" s="1"/>
  <c r="G14" i="5" s="1"/>
  <c r="E24" i="7"/>
  <c r="H24" i="7"/>
  <c r="F24" i="11"/>
  <c r="G24" i="11" s="1"/>
  <c r="D14" i="3"/>
  <c r="E14" i="3" s="1"/>
  <c r="F14" i="3" s="1"/>
  <c r="D24" i="7"/>
  <c r="R14" i="7" l="1"/>
  <c r="S14" i="7"/>
  <c r="H24" i="11"/>
  <c r="E24" i="11"/>
  <c r="D14" i="5"/>
  <c r="C24" i="11"/>
  <c r="D24" i="11"/>
  <c r="F25" i="7"/>
  <c r="G25" i="7" s="1"/>
  <c r="C25" i="7" s="1"/>
  <c r="C14" i="3"/>
  <c r="C14" i="5"/>
  <c r="T15" i="7" l="1"/>
  <c r="U15" i="7" s="1"/>
  <c r="S15" i="7" s="1"/>
  <c r="E25" i="7"/>
  <c r="H25" i="7"/>
  <c r="F25" i="11"/>
  <c r="G25" i="11" s="1"/>
  <c r="D25" i="11" s="1"/>
  <c r="E15" i="5"/>
  <c r="F15" i="5" s="1"/>
  <c r="G15" i="5" s="1"/>
  <c r="D25" i="7"/>
  <c r="D15" i="3"/>
  <c r="E15" i="3" s="1"/>
  <c r="F15" i="3" s="1"/>
  <c r="V15" i="7" l="1"/>
  <c r="R15" i="7"/>
  <c r="T16" i="7" s="1"/>
  <c r="U16" i="7" s="1"/>
  <c r="V16" i="7" s="1"/>
  <c r="C15" i="3"/>
  <c r="D15" i="5"/>
  <c r="C25" i="11"/>
  <c r="F26" i="11" s="1"/>
  <c r="G26" i="11" s="1"/>
  <c r="D26" i="11" s="1"/>
  <c r="D16" i="3"/>
  <c r="E16" i="3" s="1"/>
  <c r="F16" i="3" s="1"/>
  <c r="C15" i="5"/>
  <c r="F26" i="7"/>
  <c r="G26" i="7" s="1"/>
  <c r="E25" i="11"/>
  <c r="H25" i="11"/>
  <c r="S16" i="7" l="1"/>
  <c r="R16" i="7"/>
  <c r="C16" i="3"/>
  <c r="C26" i="11"/>
  <c r="F27" i="1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T17" i="7" l="1"/>
  <c r="U17" i="7" s="1"/>
  <c r="R17" i="7" s="1"/>
  <c r="C17" i="3"/>
  <c r="D18" i="3" s="1"/>
  <c r="E18" i="3" s="1"/>
  <c r="F18" i="3" s="1"/>
  <c r="F27" i="7"/>
  <c r="G27" i="7" s="1"/>
  <c r="D27" i="7" s="1"/>
  <c r="H27" i="11"/>
  <c r="E27" i="11"/>
  <c r="G16" i="5"/>
  <c r="D16" i="5"/>
  <c r="C27" i="11"/>
  <c r="C16" i="5"/>
  <c r="D27" i="11"/>
  <c r="V17" i="7" l="1"/>
  <c r="S17" i="7"/>
  <c r="T18" i="7" s="1"/>
  <c r="U18" i="7" s="1"/>
  <c r="V18" i="7" s="1"/>
  <c r="C18" i="3"/>
  <c r="D19" i="3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R18" i="7" l="1"/>
  <c r="S18" i="7"/>
  <c r="D17" i="5"/>
  <c r="H28" i="11"/>
  <c r="E28" i="11"/>
  <c r="C28" i="11"/>
  <c r="C19" i="3"/>
  <c r="F28" i="7"/>
  <c r="G28" i="7" s="1"/>
  <c r="C17" i="5"/>
  <c r="T19" i="7" l="1"/>
  <c r="U19" i="7" s="1"/>
  <c r="V19" i="7" s="1"/>
  <c r="E28" i="7"/>
  <c r="H28" i="7"/>
  <c r="D28" i="7"/>
  <c r="D20" i="3"/>
  <c r="E20" i="3" s="1"/>
  <c r="F20" i="3" s="1"/>
  <c r="E18" i="5"/>
  <c r="F18" i="5" s="1"/>
  <c r="G18" i="5" s="1"/>
  <c r="F29" i="11"/>
  <c r="G29" i="11" s="1"/>
  <c r="C28" i="7"/>
  <c r="R19" i="7" l="1"/>
  <c r="S19" i="7"/>
  <c r="C18" i="5"/>
  <c r="F29" i="7"/>
  <c r="G29" i="7" s="1"/>
  <c r="D29" i="7" s="1"/>
  <c r="H29" i="11"/>
  <c r="E29" i="11"/>
  <c r="D29" i="11"/>
  <c r="D18" i="5"/>
  <c r="E19" i="5"/>
  <c r="F19" i="5" s="1"/>
  <c r="G19" i="5" s="1"/>
  <c r="C29" i="11"/>
  <c r="C20" i="3"/>
  <c r="T20" i="7" l="1"/>
  <c r="U20" i="7" s="1"/>
  <c r="V20" i="7" s="1"/>
  <c r="C29" i="7"/>
  <c r="F30" i="7" s="1"/>
  <c r="G30" i="7" s="1"/>
  <c r="C30" i="7" s="1"/>
  <c r="C19" i="5"/>
  <c r="D21" i="3"/>
  <c r="E21" i="3" s="1"/>
  <c r="F21" i="3" s="1"/>
  <c r="D19" i="5"/>
  <c r="F30" i="11"/>
  <c r="G30" i="11" s="1"/>
  <c r="D30" i="11" s="1"/>
  <c r="H29" i="7"/>
  <c r="E29" i="7"/>
  <c r="R20" i="7" l="1"/>
  <c r="S20" i="7"/>
  <c r="C30" i="11"/>
  <c r="F31" i="11" s="1"/>
  <c r="G31" i="11" s="1"/>
  <c r="C31" i="11" s="1"/>
  <c r="C21" i="3"/>
  <c r="H30" i="7"/>
  <c r="E30" i="7"/>
  <c r="H30" i="11"/>
  <c r="E30" i="11"/>
  <c r="E20" i="5"/>
  <c r="F20" i="5" s="1"/>
  <c r="D20" i="5" s="1"/>
  <c r="D30" i="7"/>
  <c r="T21" i="7" l="1"/>
  <c r="U21" i="7" s="1"/>
  <c r="V21" i="7" s="1"/>
  <c r="F31" i="7"/>
  <c r="G31" i="7" s="1"/>
  <c r="H31" i="7" s="1"/>
  <c r="D22" i="3"/>
  <c r="E22" i="3" s="1"/>
  <c r="F22" i="3" s="1"/>
  <c r="C22" i="3"/>
  <c r="G20" i="5"/>
  <c r="C20" i="5"/>
  <c r="H31" i="11"/>
  <c r="E31" i="11"/>
  <c r="D31" i="11"/>
  <c r="R21" i="7" l="1"/>
  <c r="E31" i="7"/>
  <c r="S21" i="7"/>
  <c r="D31" i="7"/>
  <c r="C31" i="7"/>
  <c r="F32" i="11"/>
  <c r="G32" i="11" s="1"/>
  <c r="C32" i="11" s="1"/>
  <c r="D23" i="3"/>
  <c r="E23" i="3" s="1"/>
  <c r="F23" i="3" s="1"/>
  <c r="E21" i="5"/>
  <c r="F21" i="5" s="1"/>
  <c r="C21" i="5" s="1"/>
  <c r="T22" i="7" l="1"/>
  <c r="U22" i="7" s="1"/>
  <c r="V22" i="7" s="1"/>
  <c r="F32" i="7"/>
  <c r="G32" i="7" s="1"/>
  <c r="D32" i="7" s="1"/>
  <c r="H32" i="11"/>
  <c r="E32" i="11"/>
  <c r="G21" i="5"/>
  <c r="D21" i="5"/>
  <c r="C23" i="3"/>
  <c r="D32" i="11"/>
  <c r="F33" i="11" s="1"/>
  <c r="G33" i="11" s="1"/>
  <c r="C32" i="7" l="1"/>
  <c r="F33" i="7" s="1"/>
  <c r="G33" i="7" s="1"/>
  <c r="E32" i="7"/>
  <c r="R22" i="7"/>
  <c r="S22" i="7"/>
  <c r="H32" i="7"/>
  <c r="H33" i="11"/>
  <c r="E33" i="11"/>
  <c r="C33" i="11"/>
  <c r="D22" i="5"/>
  <c r="D33" i="11"/>
  <c r="D24" i="3"/>
  <c r="E24" i="3" s="1"/>
  <c r="F24" i="3" s="1"/>
  <c r="E22" i="5"/>
  <c r="F22" i="5" s="1"/>
  <c r="G22" i="5" s="1"/>
  <c r="T23" i="7" l="1"/>
  <c r="U23" i="7" s="1"/>
  <c r="V23" i="7" s="1"/>
  <c r="C33" i="7"/>
  <c r="C24" i="3"/>
  <c r="C22" i="5"/>
  <c r="E23" i="5" s="1"/>
  <c r="F23" i="5" s="1"/>
  <c r="G23" i="5" s="1"/>
  <c r="D25" i="3"/>
  <c r="E25" i="3" s="1"/>
  <c r="F25" i="3" s="1"/>
  <c r="C25" i="3"/>
  <c r="F34" i="11"/>
  <c r="G34" i="11" s="1"/>
  <c r="C34" i="11" s="1"/>
  <c r="D34" i="11"/>
  <c r="H33" i="7"/>
  <c r="E33" i="7"/>
  <c r="D33" i="7"/>
  <c r="R23" i="7" l="1"/>
  <c r="S23" i="7"/>
  <c r="D23" i="5"/>
  <c r="F35" i="11"/>
  <c r="G35" i="11" s="1"/>
  <c r="D26" i="3"/>
  <c r="E26" i="3" s="1"/>
  <c r="F26" i="3" s="1"/>
  <c r="C23" i="5"/>
  <c r="F34" i="7"/>
  <c r="G34" i="7" s="1"/>
  <c r="D34" i="7" s="1"/>
  <c r="H34" i="11"/>
  <c r="E34" i="11"/>
  <c r="T24" i="7" l="1"/>
  <c r="U24" i="7" s="1"/>
  <c r="V24" i="7" s="1"/>
  <c r="C26" i="3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R24" i="7" l="1"/>
  <c r="S24" i="7"/>
  <c r="G24" i="5"/>
  <c r="D24" i="5"/>
  <c r="D36" i="11"/>
  <c r="E25" i="5"/>
  <c r="F25" i="5" s="1"/>
  <c r="G25" i="5" s="1"/>
  <c r="F36" i="11"/>
  <c r="G36" i="11" s="1"/>
  <c r="C36" i="11" s="1"/>
  <c r="F35" i="7"/>
  <c r="G35" i="7" s="1"/>
  <c r="C27" i="3"/>
  <c r="T25" i="7" l="1"/>
  <c r="U25" i="7" s="1"/>
  <c r="V25" i="7" s="1"/>
  <c r="C35" i="7"/>
  <c r="F37" i="11"/>
  <c r="G37" i="11" s="1"/>
  <c r="D25" i="5"/>
  <c r="D28" i="3"/>
  <c r="E28" i="3" s="1"/>
  <c r="F28" i="3" s="1"/>
  <c r="C28" i="3"/>
  <c r="H35" i="7"/>
  <c r="E35" i="7"/>
  <c r="D35" i="7"/>
  <c r="C25" i="5"/>
  <c r="H36" i="11"/>
  <c r="E36" i="11"/>
  <c r="R25" i="7" l="1"/>
  <c r="S25" i="7"/>
  <c r="H37" i="11"/>
  <c r="E37" i="11"/>
  <c r="C37" i="11"/>
  <c r="E26" i="5"/>
  <c r="F26" i="5" s="1"/>
  <c r="G26" i="5" s="1"/>
  <c r="D37" i="11"/>
  <c r="D29" i="3"/>
  <c r="E29" i="3" s="1"/>
  <c r="F29" i="3" s="1"/>
  <c r="F36" i="7"/>
  <c r="G36" i="7" s="1"/>
  <c r="D36" i="7" s="1"/>
  <c r="T26" i="7" l="1"/>
  <c r="U26" i="7" s="1"/>
  <c r="V26" i="7" s="1"/>
  <c r="D26" i="5"/>
  <c r="C26" i="5"/>
  <c r="F38" i="11"/>
  <c r="G38" i="11" s="1"/>
  <c r="D38" i="11" s="1"/>
  <c r="C29" i="3"/>
  <c r="H36" i="7"/>
  <c r="E36" i="7"/>
  <c r="E27" i="5"/>
  <c r="F27" i="5" s="1"/>
  <c r="G27" i="5" s="1"/>
  <c r="C36" i="7"/>
  <c r="R26" i="7" l="1"/>
  <c r="S26" i="7"/>
  <c r="C27" i="5"/>
  <c r="H38" i="11"/>
  <c r="E38" i="11"/>
  <c r="F37" i="7"/>
  <c r="G37" i="7" s="1"/>
  <c r="D27" i="5"/>
  <c r="C38" i="11"/>
  <c r="E28" i="5"/>
  <c r="F28" i="5" s="1"/>
  <c r="G28" i="5" s="1"/>
  <c r="D30" i="3"/>
  <c r="E30" i="3" s="1"/>
  <c r="F30" i="3" s="1"/>
  <c r="T27" i="7" l="1"/>
  <c r="U27" i="7" s="1"/>
  <c r="V27" i="7" s="1"/>
  <c r="C37" i="7"/>
  <c r="C28" i="5"/>
  <c r="C30" i="3"/>
  <c r="F39" i="11"/>
  <c r="G39" i="11" s="1"/>
  <c r="C39" i="11" s="1"/>
  <c r="D28" i="5"/>
  <c r="H37" i="7"/>
  <c r="E37" i="7"/>
  <c r="D37" i="7"/>
  <c r="R27" i="7" l="1"/>
  <c r="S27" i="7"/>
  <c r="F38" i="7"/>
  <c r="G38" i="7" s="1"/>
  <c r="D38" i="7" s="1"/>
  <c r="D31" i="3"/>
  <c r="E31" i="3" s="1"/>
  <c r="F31" i="3" s="1"/>
  <c r="C31" i="3"/>
  <c r="E29" i="5"/>
  <c r="F29" i="5" s="1"/>
  <c r="G29" i="5" s="1"/>
  <c r="H39" i="11"/>
  <c r="E39" i="11"/>
  <c r="D39" i="11"/>
  <c r="T28" i="7" l="1"/>
  <c r="U28" i="7" s="1"/>
  <c r="V28" i="7" s="1"/>
  <c r="C29" i="5"/>
  <c r="D29" i="5"/>
  <c r="E30" i="5" s="1"/>
  <c r="F30" i="5" s="1"/>
  <c r="G30" i="5" s="1"/>
  <c r="H38" i="7"/>
  <c r="E38" i="7"/>
  <c r="C38" i="7"/>
  <c r="D32" i="3"/>
  <c r="E32" i="3" s="1"/>
  <c r="F32" i="3" s="1"/>
  <c r="D40" i="11"/>
  <c r="F40" i="11"/>
  <c r="G40" i="11" s="1"/>
  <c r="R28" i="7" l="1"/>
  <c r="S28" i="7"/>
  <c r="C30" i="5"/>
  <c r="D30" i="5"/>
  <c r="F39" i="7"/>
  <c r="G39" i="7" s="1"/>
  <c r="H40" i="11"/>
  <c r="E40" i="11"/>
  <c r="C32" i="3"/>
  <c r="C40" i="11"/>
  <c r="T29" i="7" l="1"/>
  <c r="U29" i="7" s="1"/>
  <c r="V29" i="7" s="1"/>
  <c r="E31" i="5"/>
  <c r="F31" i="5" s="1"/>
  <c r="G31" i="5" s="1"/>
  <c r="F41" i="11"/>
  <c r="G41" i="11" s="1"/>
  <c r="C31" i="5"/>
  <c r="H39" i="7"/>
  <c r="E39" i="7"/>
  <c r="D39" i="7"/>
  <c r="D33" i="3"/>
  <c r="E33" i="3" s="1"/>
  <c r="F33" i="3" s="1"/>
  <c r="C39" i="7"/>
  <c r="D31" i="5"/>
  <c r="R29" i="7" l="1"/>
  <c r="S29" i="7"/>
  <c r="C33" i="3"/>
  <c r="D34" i="3" s="1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T30" i="7" l="1"/>
  <c r="U30" i="7" s="1"/>
  <c r="V30" i="7" s="1"/>
  <c r="D32" i="5"/>
  <c r="H40" i="7"/>
  <c r="E40" i="7"/>
  <c r="D40" i="7"/>
  <c r="C34" i="3"/>
  <c r="F42" i="11"/>
  <c r="G42" i="11" s="1"/>
  <c r="C42" i="11" s="1"/>
  <c r="D42" i="11"/>
  <c r="C32" i="5"/>
  <c r="R30" i="7" l="1"/>
  <c r="S30" i="7"/>
  <c r="D35" i="3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T31" i="7" l="1"/>
  <c r="U31" i="7" s="1"/>
  <c r="V31" i="7" s="1"/>
  <c r="C33" i="5"/>
  <c r="D33" i="5"/>
  <c r="H43" i="11"/>
  <c r="E43" i="11"/>
  <c r="D36" i="3"/>
  <c r="E36" i="3" s="1"/>
  <c r="F36" i="3" s="1"/>
  <c r="C43" i="11"/>
  <c r="E34" i="5"/>
  <c r="F34" i="5" s="1"/>
  <c r="G34" i="5" s="1"/>
  <c r="C34" i="5"/>
  <c r="H41" i="7"/>
  <c r="E41" i="7"/>
  <c r="D41" i="7"/>
  <c r="D43" i="11"/>
  <c r="C41" i="7"/>
  <c r="R31" i="7" l="1"/>
  <c r="S31" i="7"/>
  <c r="F44" i="11"/>
  <c r="G44" i="11" s="1"/>
  <c r="F42" i="7"/>
  <c r="G42" i="7" s="1"/>
  <c r="C42" i="7" s="1"/>
  <c r="C36" i="3"/>
  <c r="D34" i="5"/>
  <c r="T32" i="7" l="1"/>
  <c r="U32" i="7" s="1"/>
  <c r="V32" i="7" s="1"/>
  <c r="E35" i="5"/>
  <c r="F35" i="5" s="1"/>
  <c r="H42" i="7"/>
  <c r="E42" i="7"/>
  <c r="H44" i="11"/>
  <c r="E44" i="11"/>
  <c r="D37" i="3"/>
  <c r="E37" i="3" s="1"/>
  <c r="F37" i="3" s="1"/>
  <c r="C37" i="3"/>
  <c r="D44" i="11"/>
  <c r="C44" i="11"/>
  <c r="D42" i="7"/>
  <c r="R32" i="7" l="1"/>
  <c r="S32" i="7"/>
  <c r="F43" i="7"/>
  <c r="G43" i="7" s="1"/>
  <c r="G35" i="5"/>
  <c r="C35" i="5"/>
  <c r="F45" i="11"/>
  <c r="G45" i="11" s="1"/>
  <c r="D45" i="11" s="1"/>
  <c r="D35" i="5"/>
  <c r="D38" i="3"/>
  <c r="E38" i="3" s="1"/>
  <c r="F38" i="3" s="1"/>
  <c r="T33" i="7" l="1"/>
  <c r="U33" i="7" s="1"/>
  <c r="V33" i="7" s="1"/>
  <c r="H43" i="7"/>
  <c r="C43" i="7"/>
  <c r="E43" i="7"/>
  <c r="D43" i="7"/>
  <c r="C45" i="11"/>
  <c r="F46" i="11" s="1"/>
  <c r="G46" i="11" s="1"/>
  <c r="C46" i="11" s="1"/>
  <c r="E36" i="5"/>
  <c r="F36" i="5" s="1"/>
  <c r="G36" i="5" s="1"/>
  <c r="C38" i="3"/>
  <c r="H45" i="11"/>
  <c r="E45" i="11"/>
  <c r="R33" i="7" l="1"/>
  <c r="F44" i="7"/>
  <c r="G44" i="7" s="1"/>
  <c r="H44" i="7" s="1"/>
  <c r="S33" i="7"/>
  <c r="C36" i="5"/>
  <c r="D39" i="3"/>
  <c r="E39" i="3" s="1"/>
  <c r="F39" i="3" s="1"/>
  <c r="D36" i="5"/>
  <c r="E37" i="5" s="1"/>
  <c r="F37" i="5" s="1"/>
  <c r="G37" i="5" s="1"/>
  <c r="H46" i="11"/>
  <c r="E46" i="11"/>
  <c r="D46" i="11"/>
  <c r="C44" i="7" l="1"/>
  <c r="E44" i="7"/>
  <c r="D44" i="7"/>
  <c r="T34" i="7"/>
  <c r="U34" i="7" s="1"/>
  <c r="V34" i="7" s="1"/>
  <c r="C37" i="5"/>
  <c r="C39" i="3"/>
  <c r="D40" i="3" s="1"/>
  <c r="E40" i="3" s="1"/>
  <c r="F40" i="3" s="1"/>
  <c r="F47" i="11"/>
  <c r="G47" i="11" s="1"/>
  <c r="D47" i="11" s="1"/>
  <c r="D37" i="5"/>
  <c r="F45" i="7" l="1"/>
  <c r="G45" i="7" s="1"/>
  <c r="C45" i="7" s="1"/>
  <c r="R34" i="7"/>
  <c r="S34" i="7"/>
  <c r="C47" i="11"/>
  <c r="F48" i="11" s="1"/>
  <c r="G48" i="11" s="1"/>
  <c r="C40" i="3"/>
  <c r="H47" i="11"/>
  <c r="E47" i="11"/>
  <c r="E38" i="5"/>
  <c r="F38" i="5" s="1"/>
  <c r="G38" i="5" s="1"/>
  <c r="E45" i="7" l="1"/>
  <c r="H45" i="7"/>
  <c r="D45" i="7"/>
  <c r="K46" i="7" s="1"/>
  <c r="T35" i="7"/>
  <c r="U35" i="7" s="1"/>
  <c r="V35" i="7" s="1"/>
  <c r="C48" i="11"/>
  <c r="C38" i="5"/>
  <c r="D41" i="3"/>
  <c r="E41" i="3" s="1"/>
  <c r="F41" i="3" s="1"/>
  <c r="E2" i="3" s="1"/>
  <c r="F2" i="3" s="1"/>
  <c r="H48" i="11"/>
  <c r="E48" i="11"/>
  <c r="D38" i="5"/>
  <c r="D48" i="11"/>
  <c r="F46" i="7" l="1"/>
  <c r="G46" i="7" s="1"/>
  <c r="E46" i="7" s="1"/>
  <c r="R35" i="7"/>
  <c r="S35" i="7"/>
  <c r="F49" i="11"/>
  <c r="G49" i="11" s="1"/>
  <c r="C49" i="11" s="1"/>
  <c r="C41" i="3"/>
  <c r="E39" i="5"/>
  <c r="F39" i="5" s="1"/>
  <c r="G39" i="5" s="1"/>
  <c r="C46" i="7" l="1"/>
  <c r="H46" i="7"/>
  <c r="D46" i="7"/>
  <c r="F47" i="7" s="1"/>
  <c r="G47" i="7" s="1"/>
  <c r="D47" i="7" s="1"/>
  <c r="T36" i="7"/>
  <c r="U36" i="7" s="1"/>
  <c r="V36" i="7" s="1"/>
  <c r="D39" i="5"/>
  <c r="H49" i="11"/>
  <c r="E49" i="11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K47" i="7" l="1"/>
  <c r="R36" i="7"/>
  <c r="S36" i="7"/>
  <c r="H47" i="7"/>
  <c r="E47" i="7"/>
  <c r="C47" i="7"/>
  <c r="K48" i="7" s="1"/>
  <c r="E40" i="5"/>
  <c r="F40" i="5" s="1"/>
  <c r="G40" i="5" s="1"/>
  <c r="F50" i="11"/>
  <c r="G50" i="11" s="1"/>
  <c r="T37" i="7" l="1"/>
  <c r="U37" i="7" s="1"/>
  <c r="V37" i="7" s="1"/>
  <c r="F48" i="7"/>
  <c r="G48" i="7" s="1"/>
  <c r="H48" i="7" s="1"/>
  <c r="D40" i="5"/>
  <c r="H50" i="11"/>
  <c r="E50" i="11"/>
  <c r="D50" i="11"/>
  <c r="C40" i="5"/>
  <c r="C50" i="11"/>
  <c r="R37" i="7" l="1"/>
  <c r="S37" i="7"/>
  <c r="C48" i="7"/>
  <c r="D48" i="7"/>
  <c r="E48" i="7"/>
  <c r="F51" i="11"/>
  <c r="G51" i="11" s="1"/>
  <c r="E41" i="5"/>
  <c r="F41" i="5" s="1"/>
  <c r="G41" i="5" s="1"/>
  <c r="F2" i="5" s="1"/>
  <c r="G2" i="5" s="1"/>
  <c r="T38" i="7" l="1"/>
  <c r="U38" i="7" s="1"/>
  <c r="V38" i="7" s="1"/>
  <c r="F49" i="7"/>
  <c r="G49" i="7" s="1"/>
  <c r="D49" i="7" s="1"/>
  <c r="K49" i="7"/>
  <c r="D41" i="5"/>
  <c r="C41" i="5"/>
  <c r="B53" i="5" s="1"/>
  <c r="B45" i="5"/>
  <c r="B49" i="5"/>
  <c r="B47" i="5"/>
  <c r="B51" i="5"/>
  <c r="B50" i="5"/>
  <c r="B52" i="5"/>
  <c r="B48" i="5"/>
  <c r="H51" i="11"/>
  <c r="E51" i="11"/>
  <c r="C51" i="11"/>
  <c r="D51" i="11"/>
  <c r="R38" i="7" l="1"/>
  <c r="S38" i="7"/>
  <c r="E49" i="7"/>
  <c r="H49" i="7"/>
  <c r="C49" i="7"/>
  <c r="B44" i="5"/>
  <c r="B43" i="5"/>
  <c r="B46" i="5"/>
  <c r="B42" i="5"/>
  <c r="F52" i="11"/>
  <c r="G52" i="11" s="1"/>
  <c r="C52" i="11" s="1"/>
  <c r="T39" i="7" l="1"/>
  <c r="U39" i="7" s="1"/>
  <c r="V39" i="7" s="1"/>
  <c r="K50" i="7"/>
  <c r="F50" i="7"/>
  <c r="G50" i="7" s="1"/>
  <c r="H52" i="11"/>
  <c r="G2" i="11" s="1"/>
  <c r="H2" i="11" s="1"/>
  <c r="E52" i="11"/>
  <c r="D52" i="11"/>
  <c r="R39" i="7" l="1"/>
  <c r="S39" i="7"/>
  <c r="C50" i="7"/>
  <c r="H50" i="7"/>
  <c r="E50" i="7"/>
  <c r="D50" i="7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F53" i="11"/>
  <c r="T40" i="7" l="1"/>
  <c r="U40" i="7" s="1"/>
  <c r="V40" i="7" s="1"/>
  <c r="F51" i="7"/>
  <c r="G51" i="7" s="1"/>
  <c r="K51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C53" i="11"/>
  <c r="R40" i="7" l="1"/>
  <c r="S40" i="7"/>
  <c r="D51" i="7"/>
  <c r="H51" i="7"/>
  <c r="E51" i="7"/>
  <c r="C51" i="7"/>
  <c r="C54" i="11"/>
  <c r="F54" i="11"/>
  <c r="B54" i="11" s="1"/>
  <c r="E54" i="11"/>
  <c r="T41" i="7" l="1"/>
  <c r="U41" i="7" s="1"/>
  <c r="V41" i="7" s="1"/>
  <c r="K4" i="7" s="1"/>
  <c r="K52" i="7"/>
  <c r="F52" i="7"/>
  <c r="G52" i="7" s="1"/>
  <c r="C55" i="11"/>
  <c r="F55" i="11"/>
  <c r="B55" i="11" s="1"/>
  <c r="E55" i="11"/>
  <c r="R41" i="7" l="1"/>
  <c r="S41" i="7"/>
  <c r="D52" i="7"/>
  <c r="C52" i="7"/>
  <c r="H52" i="7"/>
  <c r="G2" i="7" s="1"/>
  <c r="H2" i="7" s="1"/>
  <c r="E52" i="7"/>
  <c r="C56" i="11"/>
  <c r="F56" i="11"/>
  <c r="B56" i="11" s="1"/>
  <c r="E56" i="11"/>
  <c r="T42" i="7" l="1"/>
  <c r="U42" i="7" s="1"/>
  <c r="V42" i="7" s="1"/>
  <c r="B55" i="7"/>
  <c r="B56" i="7"/>
  <c r="B63" i="7"/>
  <c r="B60" i="7"/>
  <c r="K54" i="7"/>
  <c r="B59" i="7"/>
  <c r="B54" i="7"/>
  <c r="B57" i="7"/>
  <c r="B58" i="7"/>
  <c r="B61" i="7"/>
  <c r="B64" i="7"/>
  <c r="B62" i="7"/>
  <c r="B53" i="7"/>
  <c r="C57" i="11"/>
  <c r="F57" i="11"/>
  <c r="B57" i="11" s="1"/>
  <c r="E57" i="11"/>
  <c r="R42" i="7" l="1"/>
  <c r="S42" i="7"/>
  <c r="K53" i="7"/>
  <c r="L54" i="7"/>
  <c r="C58" i="11"/>
  <c r="F58" i="11"/>
  <c r="B58" i="11" s="1"/>
  <c r="E58" i="11"/>
  <c r="T43" i="7" l="1"/>
  <c r="U43" i="7" s="1"/>
  <c r="V43" i="7" s="1"/>
  <c r="N54" i="7"/>
  <c r="M54" i="7"/>
  <c r="C59" i="11"/>
  <c r="F59" i="11"/>
  <c r="B59" i="11" s="1"/>
  <c r="E59" i="11"/>
  <c r="R43" i="7" l="1"/>
  <c r="S43" i="7"/>
  <c r="C60" i="11"/>
  <c r="F60" i="11"/>
  <c r="B60" i="11" s="1"/>
  <c r="E60" i="11"/>
  <c r="T44" i="7" l="1"/>
  <c r="U44" i="7" s="1"/>
  <c r="V44" i="7" s="1"/>
  <c r="C61" i="11"/>
  <c r="F61" i="11"/>
  <c r="B61" i="11" s="1"/>
  <c r="E61" i="11"/>
  <c r="R44" i="7" l="1"/>
  <c r="S44" i="7"/>
  <c r="C62" i="11"/>
  <c r="F62" i="11"/>
  <c r="B62" i="11" s="1"/>
  <c r="E62" i="11"/>
  <c r="T45" i="7" l="1"/>
  <c r="U45" i="7" s="1"/>
  <c r="V45" i="7" s="1"/>
  <c r="C63" i="11"/>
  <c r="F63" i="11"/>
  <c r="B63" i="11" s="1"/>
  <c r="E63" i="11"/>
  <c r="S45" i="7" l="1"/>
  <c r="R45" i="7"/>
  <c r="C64" i="11"/>
  <c r="F64" i="11"/>
  <c r="B64" i="11" s="1"/>
  <c r="E64" i="11"/>
  <c r="T46" i="7" l="1"/>
  <c r="U46" i="7" s="1"/>
  <c r="V46" i="7" s="1"/>
  <c r="S46" i="7" l="1"/>
  <c r="R46" i="7"/>
  <c r="T47" i="7" l="1"/>
  <c r="U47" i="7" s="1"/>
  <c r="V47" i="7" s="1"/>
  <c r="R47" i="7" l="1"/>
  <c r="S47" i="7"/>
  <c r="T48" i="7" l="1"/>
  <c r="U48" i="7" s="1"/>
  <c r="V48" i="7" s="1"/>
  <c r="R48" i="7" l="1"/>
  <c r="S48" i="7"/>
  <c r="T49" i="7" l="1"/>
  <c r="U49" i="7" s="1"/>
  <c r="V49" i="7" s="1"/>
  <c r="S49" i="7" l="1"/>
  <c r="R49" i="7"/>
  <c r="T50" i="7" l="1"/>
  <c r="U50" i="7" s="1"/>
  <c r="V50" i="7" s="1"/>
  <c r="S50" i="7" l="1"/>
  <c r="R50" i="7"/>
  <c r="T51" i="7" l="1"/>
  <c r="U51" i="7" s="1"/>
  <c r="V51" i="7" s="1"/>
  <c r="S51" i="7" l="1"/>
  <c r="R51" i="7"/>
  <c r="T52" i="7" s="1"/>
  <c r="U52" i="7" s="1"/>
  <c r="V52" i="7" l="1"/>
  <c r="S52" i="7"/>
  <c r="R52" i="7"/>
  <c r="T53" i="7" s="1"/>
  <c r="U53" i="7" s="1"/>
  <c r="V53" i="7" s="1"/>
  <c r="R53" i="7" l="1"/>
  <c r="S53" i="7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<sst xmlns="http://schemas.openxmlformats.org/spreadsheetml/2006/main" count="77" uniqueCount="34">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</sst>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E+00;\_x0000_"/>
  </numFmts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scheme val="minor"/>
    </font>
    <font>
      <b/>
      <i/>
      <sz val="12"/>
      <color rgb="FFFF0000"/>
      <name val="Calibri"/>
      <scheme val="minor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  <xf numFmtId="2" fontId="0" fillId="5" borderId="0" xfId="0" applyNumberFormat="1" applyFill="1"/>
    <xf numFmtId="2" fontId="0" fillId="6" borderId="0" xfId="0" applyNumberFormat="1" applyFill="1"/>
    <xf numFmtId="2" fontId="0" fillId="7" borderId="0" xfId="0" applyNumberFormat="1" applyFill="1"/>
    <xf numFmtId="164" fontId="0" fillId="0" borderId="0" xfId="0" applyNumberFormat="1"/>
    <xf numFmtId="164" fontId="9" fillId="0" borderId="0" xfId="0" applyNumberFormat="1" applyFont="1"/>
    <xf numFmtId="164" fontId="0" fillId="0" borderId="0" xfId="0" applyNumberFormat="1" applyAlignment="1">
      <alignment wrapText="1"/>
    </xf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27-4A10-8F11-05F2D10C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5264"/>
        <c:axId val="96275840"/>
      </c:scatterChart>
      <c:valAx>
        <c:axId val="96275264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5840"/>
        <c:crosses val="autoZero"/>
        <c:crossBetween val="midCat"/>
        <c:majorUnit val="6"/>
      </c:valAx>
      <c:valAx>
        <c:axId val="9627584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5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C7-4A75-A42A-5E96111829BA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C7-4A75-A42A-5E9611182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6992"/>
        <c:axId val="96277568"/>
      </c:scatterChart>
      <c:valAx>
        <c:axId val="962769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7568"/>
        <c:crosses val="autoZero"/>
        <c:crossBetween val="midCat"/>
        <c:majorUnit val="6"/>
      </c:valAx>
      <c:valAx>
        <c:axId val="9627756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6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nl-NL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89-41EE-A0E8-04F8323D9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79296"/>
        <c:axId val="96279872"/>
      </c:scatterChart>
      <c:valAx>
        <c:axId val="96279296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9872"/>
        <c:crosses val="autoZero"/>
        <c:crossBetween val="midCat"/>
        <c:majorUnit val="3"/>
      </c:valAx>
      <c:valAx>
        <c:axId val="96279872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2792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9E-47D1-8DEA-5750AD788794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291.70947683813665</c:v>
                </c:pt>
                <c:pt idx="1">
                  <c:v>297.05387483650361</c:v>
                </c:pt>
                <c:pt idx="2">
                  <c:v>302.39827283487051</c:v>
                </c:pt>
                <c:pt idx="3">
                  <c:v>307.74267083323747</c:v>
                </c:pt>
                <c:pt idx="4">
                  <c:v>313.08706883160443</c:v>
                </c:pt>
                <c:pt idx="5">
                  <c:v>318.43146682997133</c:v>
                </c:pt>
                <c:pt idx="6">
                  <c:v>323.77586482833829</c:v>
                </c:pt>
                <c:pt idx="7">
                  <c:v>329.12026282670524</c:v>
                </c:pt>
                <c:pt idx="8">
                  <c:v>334.4646608250722</c:v>
                </c:pt>
                <c:pt idx="9">
                  <c:v>339.80905882343916</c:v>
                </c:pt>
                <c:pt idx="10">
                  <c:v>345.15345682180606</c:v>
                </c:pt>
                <c:pt idx="11">
                  <c:v>350.49785482017302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9E-47D1-8DEA-5750AD788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41344"/>
        <c:axId val="69641920"/>
      </c:scatterChart>
      <c:valAx>
        <c:axId val="69641344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41920"/>
        <c:crosses val="autoZero"/>
        <c:crossBetween val="midCat"/>
        <c:majorUnit val="6"/>
      </c:valAx>
      <c:valAx>
        <c:axId val="6964192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641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69-41CD-A086-A039623C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3378688"/>
        <c:axId val="6964364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9-41CD-A086-A039623CB514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69-41CD-A086-A039623CB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8688"/>
        <c:axId val="69643648"/>
      </c:lineChart>
      <c:catAx>
        <c:axId val="43378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69643648"/>
        <c:crosses val="autoZero"/>
        <c:auto val="1"/>
        <c:lblAlgn val="ctr"/>
        <c:lblOffset val="100"/>
        <c:noMultiLvlLbl val="0"/>
      </c:catAx>
      <c:valAx>
        <c:axId val="6964364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33786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C-4988-B5EC-46C0CBBAD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45376"/>
        <c:axId val="69645952"/>
      </c:scatterChart>
      <c:valAx>
        <c:axId val="69645376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69645952"/>
        <c:crosses val="autoZero"/>
        <c:crossBetween val="midCat"/>
        <c:majorUnit val="6"/>
      </c:valAx>
      <c:valAx>
        <c:axId val="69645952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9645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7-4BC8-965C-636693B3CD81}"/>
            </c:ext>
          </c:extLst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27-4BC8-965C-636693B3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8208"/>
        <c:axId val="44541632"/>
      </c:lineChart>
      <c:catAx>
        <c:axId val="44638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41632"/>
        <c:crosses val="autoZero"/>
        <c:auto val="1"/>
        <c:lblAlgn val="ctr"/>
        <c:lblOffset val="100"/>
        <c:noMultiLvlLbl val="0"/>
      </c:catAx>
      <c:valAx>
        <c:axId val="44541632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3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0-4447-BF04-B7D45A242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38720"/>
        <c:axId val="44539904"/>
      </c:barChart>
      <c:catAx>
        <c:axId val="44638720"/>
        <c:scaling>
          <c:orientation val="minMax"/>
        </c:scaling>
        <c:delete val="0"/>
        <c:axPos val="b"/>
        <c:majorTickMark val="out"/>
        <c:minorTickMark val="none"/>
        <c:tickLblPos val="nextTo"/>
        <c:crossAx val="44539904"/>
        <c:crosses val="autoZero"/>
        <c:auto val="1"/>
        <c:lblAlgn val="ctr"/>
        <c:lblOffset val="100"/>
        <c:noMultiLvlLbl val="0"/>
      </c:catAx>
      <c:valAx>
        <c:axId val="44539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46387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72-4054-9331-9E268556913C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251.23238694608742</c:v>
                </c:pt>
                <c:pt idx="1">
                  <c:v>268.99877602774075</c:v>
                </c:pt>
                <c:pt idx="2">
                  <c:v>245.68852780096299</c:v>
                </c:pt>
                <c:pt idx="3">
                  <c:v>244.49772328215971</c:v>
                </c:pt>
                <c:pt idx="4">
                  <c:v>284.19685230178152</c:v>
                </c:pt>
                <c:pt idx="5">
                  <c:v>251.12159392818165</c:v>
                </c:pt>
                <c:pt idx="6">
                  <c:v>259.3118078367271</c:v>
                </c:pt>
                <c:pt idx="7">
                  <c:v>265.16898964679712</c:v>
                </c:pt>
                <c:pt idx="8">
                  <c:v>287.38503367310176</c:v>
                </c:pt>
                <c:pt idx="9">
                  <c:v>300.07875523919006</c:v>
                </c:pt>
                <c:pt idx="10">
                  <c:v>314.26695081895724</c:v>
                </c:pt>
                <c:pt idx="11">
                  <c:v>366.52486298722414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72-4054-9331-9E268556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42784"/>
        <c:axId val="44543360"/>
      </c:scatterChart>
      <c:valAx>
        <c:axId val="44542784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3360"/>
        <c:crosses val="autoZero"/>
        <c:crossBetween val="midCat"/>
        <c:majorUnit val="6"/>
      </c:valAx>
      <c:valAx>
        <c:axId val="44543360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2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F-4563-9672-896DA02A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639744"/>
        <c:axId val="44545088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3F-4563-9672-896DA02ACA4A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3F-4563-9672-896DA02A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639744"/>
        <c:axId val="44545088"/>
      </c:lineChart>
      <c:catAx>
        <c:axId val="44639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nl-NL"/>
          </a:p>
        </c:txPr>
        <c:crossAx val="44545088"/>
        <c:crosses val="autoZero"/>
        <c:auto val="1"/>
        <c:lblAlgn val="ctr"/>
        <c:lblOffset val="100"/>
        <c:noMultiLvlLbl val="0"/>
      </c:catAx>
      <c:valAx>
        <c:axId val="44545088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397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nl-NL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D-4C35-BB1C-DAFB2B28008A}"/>
            </c:ext>
          </c:extLst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D-4C35-BB1C-DAFB2B28008A}"/>
            </c:ext>
          </c:extLst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1D-4C35-BB1C-DAFB2B280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19680"/>
        <c:axId val="44546816"/>
      </c:areaChart>
      <c:catAx>
        <c:axId val="45319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546816"/>
        <c:crosses val="autoZero"/>
        <c:auto val="1"/>
        <c:lblAlgn val="ctr"/>
        <c:lblOffset val="100"/>
        <c:noMultiLvlLbl val="0"/>
      </c:catAx>
      <c:valAx>
        <c:axId val="44546816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19680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nl-NL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622300</xdr:colOff>
      <xdr:row>8</xdr:row>
      <xdr:rowOff>73025</xdr:rowOff>
    </xdr:from>
    <xdr:to>
      <xdr:col>16</xdr:col>
      <xdr:colOff>146050</xdr:colOff>
      <xdr:row>28</xdr:row>
      <xdr:rowOff>15875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2"/>
  <sheetViews>
    <sheetView zoomScale="150" zoomScaleNormal="150" zoomScalePageLayoutView="150" workbookViewId="0">
      <selection activeCell="B6" sqref="B6"/>
    </sheetView>
  </sheetViews>
  <sheetFormatPr defaultColWidth="11" defaultRowHeight="15.75" x14ac:dyDescent="0.25"/>
  <cols>
    <col min="1" max="1" width="6.375" customWidth="1"/>
    <col min="2" max="2" width="12.125" style="13" bestFit="1" customWidth="1"/>
  </cols>
  <sheetData>
    <row r="1" spans="1:2" x14ac:dyDescent="0.25">
      <c r="A1" s="14" t="s">
        <v>1</v>
      </c>
      <c r="B1" s="15" t="s">
        <v>0</v>
      </c>
    </row>
    <row r="2" spans="1:2" s="27" customFormat="1" ht="12" customHeight="1" x14ac:dyDescent="0.25">
      <c r="A2" s="25">
        <v>1</v>
      </c>
      <c r="B2" s="26">
        <v>165</v>
      </c>
    </row>
    <row r="3" spans="1:2" s="27" customFormat="1" ht="12" customHeight="1" x14ac:dyDescent="0.25">
      <c r="A3" s="25">
        <v>2</v>
      </c>
      <c r="B3" s="26">
        <v>171</v>
      </c>
    </row>
    <row r="4" spans="1:2" s="27" customFormat="1" ht="12" customHeight="1" x14ac:dyDescent="0.25">
      <c r="A4" s="25">
        <v>3</v>
      </c>
      <c r="B4" s="26">
        <v>147</v>
      </c>
    </row>
    <row r="5" spans="1:2" s="27" customFormat="1" ht="12" customHeight="1" x14ac:dyDescent="0.25">
      <c r="A5" s="25">
        <v>4</v>
      </c>
      <c r="B5" s="26">
        <v>143</v>
      </c>
    </row>
    <row r="6" spans="1:2" s="27" customFormat="1" ht="12" customHeight="1" x14ac:dyDescent="0.25">
      <c r="A6" s="25">
        <v>5</v>
      </c>
      <c r="B6" s="26">
        <v>164</v>
      </c>
    </row>
    <row r="7" spans="1:2" s="27" customFormat="1" ht="12" customHeight="1" x14ac:dyDescent="0.25">
      <c r="A7" s="25">
        <v>6</v>
      </c>
      <c r="B7" s="26">
        <v>160</v>
      </c>
    </row>
    <row r="8" spans="1:2" s="27" customFormat="1" ht="12" customHeight="1" x14ac:dyDescent="0.25">
      <c r="A8" s="25">
        <v>7</v>
      </c>
      <c r="B8" s="26">
        <v>152</v>
      </c>
    </row>
    <row r="9" spans="1:2" s="27" customFormat="1" ht="12" customHeight="1" x14ac:dyDescent="0.25">
      <c r="A9" s="25">
        <v>8</v>
      </c>
      <c r="B9" s="26">
        <v>150</v>
      </c>
    </row>
    <row r="10" spans="1:2" s="27" customFormat="1" ht="12" customHeight="1" x14ac:dyDescent="0.25">
      <c r="A10" s="25">
        <v>9</v>
      </c>
      <c r="B10" s="26">
        <v>159</v>
      </c>
    </row>
    <row r="11" spans="1:2" s="27" customFormat="1" ht="12" customHeight="1" x14ac:dyDescent="0.25">
      <c r="A11" s="25">
        <v>10</v>
      </c>
      <c r="B11" s="26">
        <v>169</v>
      </c>
    </row>
    <row r="12" spans="1:2" s="27" customFormat="1" ht="12" customHeight="1" x14ac:dyDescent="0.25">
      <c r="A12" s="25">
        <v>11</v>
      </c>
      <c r="B12" s="26">
        <v>173</v>
      </c>
    </row>
    <row r="13" spans="1:2" s="27" customFormat="1" ht="12" customHeight="1" x14ac:dyDescent="0.25">
      <c r="A13" s="25">
        <v>12</v>
      </c>
      <c r="B13" s="26">
        <v>203</v>
      </c>
    </row>
    <row r="14" spans="1:2" s="27" customFormat="1" ht="12" customHeight="1" x14ac:dyDescent="0.25">
      <c r="A14" s="25">
        <v>13</v>
      </c>
      <c r="B14" s="26">
        <v>169</v>
      </c>
    </row>
    <row r="15" spans="1:2" s="27" customFormat="1" ht="12" customHeight="1" x14ac:dyDescent="0.25">
      <c r="A15" s="25">
        <v>14</v>
      </c>
      <c r="B15" s="26">
        <v>166</v>
      </c>
    </row>
    <row r="16" spans="1:2" s="27" customFormat="1" ht="12" customHeight="1" x14ac:dyDescent="0.25">
      <c r="A16" s="25">
        <v>15</v>
      </c>
      <c r="B16" s="26">
        <v>162</v>
      </c>
    </row>
    <row r="17" spans="1:2" s="27" customFormat="1" ht="12" customHeight="1" x14ac:dyDescent="0.25">
      <c r="A17" s="25">
        <v>16</v>
      </c>
      <c r="B17" s="26">
        <v>147</v>
      </c>
    </row>
    <row r="18" spans="1:2" s="27" customFormat="1" ht="12" customHeight="1" x14ac:dyDescent="0.25">
      <c r="A18" s="25">
        <v>17</v>
      </c>
      <c r="B18" s="26">
        <v>188</v>
      </c>
    </row>
    <row r="19" spans="1:2" s="27" customFormat="1" ht="12" customHeight="1" x14ac:dyDescent="0.25">
      <c r="A19" s="25">
        <v>18</v>
      </c>
      <c r="B19" s="26">
        <v>161</v>
      </c>
    </row>
    <row r="20" spans="1:2" s="27" customFormat="1" ht="12" customHeight="1" x14ac:dyDescent="0.25">
      <c r="A20" s="25">
        <v>19</v>
      </c>
      <c r="B20" s="26">
        <v>162</v>
      </c>
    </row>
    <row r="21" spans="1:2" s="27" customFormat="1" ht="12" customHeight="1" x14ac:dyDescent="0.25">
      <c r="A21" s="25">
        <v>20</v>
      </c>
      <c r="B21" s="26">
        <v>169</v>
      </c>
    </row>
    <row r="22" spans="1:2" s="27" customFormat="1" ht="12" customHeight="1" x14ac:dyDescent="0.25">
      <c r="A22" s="25">
        <v>21</v>
      </c>
      <c r="B22" s="26">
        <v>185</v>
      </c>
    </row>
    <row r="23" spans="1:2" s="27" customFormat="1" ht="12" customHeight="1" x14ac:dyDescent="0.25">
      <c r="A23" s="25">
        <v>22</v>
      </c>
      <c r="B23" s="26">
        <v>188</v>
      </c>
    </row>
    <row r="24" spans="1:2" s="27" customFormat="1" ht="12" customHeight="1" x14ac:dyDescent="0.25">
      <c r="A24" s="25">
        <v>23</v>
      </c>
      <c r="B24" s="26">
        <v>200</v>
      </c>
    </row>
    <row r="25" spans="1:2" s="27" customFormat="1" ht="12" customHeight="1" x14ac:dyDescent="0.25">
      <c r="A25" s="25">
        <v>24</v>
      </c>
      <c r="B25" s="26">
        <v>229</v>
      </c>
    </row>
    <row r="26" spans="1:2" s="27" customFormat="1" ht="12" customHeight="1" x14ac:dyDescent="0.25">
      <c r="A26" s="25">
        <v>25</v>
      </c>
      <c r="B26" s="26">
        <v>189</v>
      </c>
    </row>
    <row r="27" spans="1:2" s="27" customFormat="1" ht="12" customHeight="1" x14ac:dyDescent="0.25">
      <c r="A27" s="25">
        <v>26</v>
      </c>
      <c r="B27" s="26">
        <v>218</v>
      </c>
    </row>
    <row r="28" spans="1:2" s="27" customFormat="1" ht="12" customHeight="1" x14ac:dyDescent="0.25">
      <c r="A28" s="25">
        <v>27</v>
      </c>
      <c r="B28" s="26">
        <v>185</v>
      </c>
    </row>
    <row r="29" spans="1:2" s="27" customFormat="1" ht="12" customHeight="1" x14ac:dyDescent="0.25">
      <c r="A29" s="25">
        <v>28</v>
      </c>
      <c r="B29" s="26">
        <v>199</v>
      </c>
    </row>
    <row r="30" spans="1:2" s="27" customFormat="1" ht="12" customHeight="1" x14ac:dyDescent="0.25">
      <c r="A30" s="25">
        <v>29</v>
      </c>
      <c r="B30" s="26">
        <v>210</v>
      </c>
    </row>
    <row r="31" spans="1:2" s="27" customFormat="1" ht="12" customHeight="1" x14ac:dyDescent="0.25">
      <c r="A31" s="25">
        <v>30</v>
      </c>
      <c r="B31" s="26">
        <v>193</v>
      </c>
    </row>
    <row r="32" spans="1:2" s="27" customFormat="1" ht="12" customHeight="1" x14ac:dyDescent="0.25">
      <c r="A32" s="25">
        <v>31</v>
      </c>
      <c r="B32" s="26">
        <v>211</v>
      </c>
    </row>
    <row r="33" spans="1:2" s="27" customFormat="1" ht="12" customHeight="1" x14ac:dyDescent="0.25">
      <c r="A33" s="25">
        <v>32</v>
      </c>
      <c r="B33" s="26">
        <v>208</v>
      </c>
    </row>
    <row r="34" spans="1:2" s="27" customFormat="1" ht="12" customHeight="1" x14ac:dyDescent="0.25">
      <c r="A34" s="25">
        <v>33</v>
      </c>
      <c r="B34" s="26">
        <v>216</v>
      </c>
    </row>
    <row r="35" spans="1:2" s="27" customFormat="1" ht="12" customHeight="1" x14ac:dyDescent="0.25">
      <c r="A35" s="25">
        <v>34</v>
      </c>
      <c r="B35" s="26">
        <v>218</v>
      </c>
    </row>
    <row r="36" spans="1:2" s="27" customFormat="1" ht="12" customHeight="1" x14ac:dyDescent="0.25">
      <c r="A36" s="25">
        <v>35</v>
      </c>
      <c r="B36" s="26">
        <v>264</v>
      </c>
    </row>
    <row r="37" spans="1:2" s="27" customFormat="1" ht="12" customHeight="1" x14ac:dyDescent="0.25">
      <c r="A37" s="28">
        <v>36</v>
      </c>
      <c r="B37" s="29">
        <v>304</v>
      </c>
    </row>
    <row r="39" spans="1:2" x14ac:dyDescent="0.25">
      <c r="A39" t="s">
        <v>30</v>
      </c>
      <c r="B39" s="23">
        <f>INDEX(LINEST(B2:B37,A2:A37,TRUE,TRUE),1,1)</f>
        <v>2.5386100386100385</v>
      </c>
    </row>
    <row r="40" spans="1:2" x14ac:dyDescent="0.25">
      <c r="A40" t="s">
        <v>33</v>
      </c>
      <c r="B40" s="23">
        <f>INDEX(LINEST(B2:B37,A2:A37,TRUE,TRUE),2,1)</f>
        <v>0.34018172051263179</v>
      </c>
    </row>
    <row r="41" spans="1:2" x14ac:dyDescent="0.25">
      <c r="A41" t="s">
        <v>31</v>
      </c>
      <c r="B41" s="13">
        <f>INDEX(LINEST(B2:B37,A2:A37,TRUE,TRUE),4,2)</f>
        <v>34</v>
      </c>
    </row>
    <row r="42" spans="1:2" x14ac:dyDescent="0.25">
      <c r="A42" t="s">
        <v>32</v>
      </c>
      <c r="B42" s="24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8" t="s">
        <v>8</v>
      </c>
      <c r="F1" s="18" t="s">
        <v>9</v>
      </c>
    </row>
    <row r="2" spans="1:6" x14ac:dyDescent="0.25">
      <c r="A2">
        <v>36</v>
      </c>
      <c r="C2" s="2">
        <v>0.73208959976663501</v>
      </c>
      <c r="E2" s="19">
        <f>SUM(F6:F41)</f>
        <v>14555.771064023324</v>
      </c>
      <c r="F2" s="19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7">
        <f t="shared" ref="C7:C41" si="0">C6+C$2*E7</f>
        <v>169.24898563349342</v>
      </c>
      <c r="D7" s="17">
        <f t="shared" ref="D7:D41" si="1">C6</f>
        <v>164.46417919953328</v>
      </c>
      <c r="E7" s="17">
        <f t="shared" ref="E7:E41" si="2">B7-D7</f>
        <v>6.5358208004667233</v>
      </c>
      <c r="F7" s="17">
        <f t="shared" ref="F7:F41" si="3">E7^2</f>
        <v>42.716953535813481</v>
      </c>
    </row>
    <row r="8" spans="1:6" x14ac:dyDescent="0.25">
      <c r="A8">
        <v>3</v>
      </c>
      <c r="B8">
        <v>147</v>
      </c>
      <c r="C8" s="17">
        <f t="shared" si="0"/>
        <v>152.96073464585561</v>
      </c>
      <c r="D8" s="17">
        <f t="shared" si="1"/>
        <v>169.24898563349342</v>
      </c>
      <c r="E8" s="17">
        <f t="shared" si="2"/>
        <v>-22.248985633493419</v>
      </c>
      <c r="F8" s="17">
        <f t="shared" si="3"/>
        <v>495.01736171939655</v>
      </c>
    </row>
    <row r="9" spans="1:6" x14ac:dyDescent="0.25">
      <c r="A9">
        <v>4</v>
      </c>
      <c r="B9">
        <v>143</v>
      </c>
      <c r="C9" s="17">
        <f t="shared" si="0"/>
        <v>145.66858440558951</v>
      </c>
      <c r="D9" s="17">
        <f t="shared" si="1"/>
        <v>152.96073464585561</v>
      </c>
      <c r="E9" s="17">
        <f t="shared" si="2"/>
        <v>-9.9607346458556094</v>
      </c>
      <c r="F9" s="17">
        <f t="shared" si="3"/>
        <v>99.216234685148279</v>
      </c>
    </row>
    <row r="10" spans="1:6" x14ac:dyDescent="0.25">
      <c r="A10">
        <v>5</v>
      </c>
      <c r="B10">
        <v>164</v>
      </c>
      <c r="C10" s="17">
        <f t="shared" si="0"/>
        <v>159.08882311125734</v>
      </c>
      <c r="D10" s="17">
        <f t="shared" si="1"/>
        <v>145.66858440558951</v>
      </c>
      <c r="E10" s="17">
        <f t="shared" si="2"/>
        <v>18.331415594410487</v>
      </c>
      <c r="F10" s="17">
        <f t="shared" si="3"/>
        <v>336.040797694996</v>
      </c>
    </row>
    <row r="11" spans="1:6" x14ac:dyDescent="0.25">
      <c r="A11">
        <v>6</v>
      </c>
      <c r="B11">
        <v>160</v>
      </c>
      <c r="C11" s="17">
        <f t="shared" si="0"/>
        <v>159.75588623505357</v>
      </c>
      <c r="D11" s="17">
        <f t="shared" si="1"/>
        <v>159.08882311125734</v>
      </c>
      <c r="E11" s="17">
        <f t="shared" si="2"/>
        <v>0.91117688874265923</v>
      </c>
      <c r="F11" s="17">
        <f t="shared" si="3"/>
        <v>0.83024332257875244</v>
      </c>
    </row>
    <row r="12" spans="1:6" x14ac:dyDescent="0.25">
      <c r="A12">
        <v>7</v>
      </c>
      <c r="B12">
        <v>152</v>
      </c>
      <c r="C12" s="17">
        <f t="shared" si="0"/>
        <v>154.07788258539765</v>
      </c>
      <c r="D12" s="17">
        <f t="shared" si="1"/>
        <v>159.75588623505357</v>
      </c>
      <c r="E12" s="17">
        <f t="shared" si="2"/>
        <v>-7.7558862350535662</v>
      </c>
      <c r="F12" s="17">
        <f t="shared" si="3"/>
        <v>60.153771291093385</v>
      </c>
    </row>
    <row r="13" spans="1:6" x14ac:dyDescent="0.25">
      <c r="A13">
        <v>8</v>
      </c>
      <c r="B13">
        <v>150</v>
      </c>
      <c r="C13" s="17">
        <f t="shared" si="0"/>
        <v>151.09250715555856</v>
      </c>
      <c r="D13" s="17">
        <f t="shared" si="1"/>
        <v>154.07788258539765</v>
      </c>
      <c r="E13" s="17">
        <f t="shared" si="2"/>
        <v>-4.0778825853976457</v>
      </c>
      <c r="F13" s="17">
        <f t="shared" si="3"/>
        <v>16.629126380289389</v>
      </c>
    </row>
    <row r="14" spans="1:6" x14ac:dyDescent="0.25">
      <c r="A14">
        <v>9</v>
      </c>
      <c r="B14">
        <v>159</v>
      </c>
      <c r="C14" s="17">
        <f t="shared" si="0"/>
        <v>156.88150042720324</v>
      </c>
      <c r="D14" s="17">
        <f t="shared" si="1"/>
        <v>151.09250715555856</v>
      </c>
      <c r="E14" s="17">
        <f t="shared" si="2"/>
        <v>7.9074928444414354</v>
      </c>
      <c r="F14" s="17">
        <f t="shared" si="3"/>
        <v>62.528443084892501</v>
      </c>
    </row>
    <row r="15" spans="1:6" x14ac:dyDescent="0.25">
      <c r="A15">
        <v>10</v>
      </c>
      <c r="B15">
        <v>169</v>
      </c>
      <c r="C15" s="17">
        <f t="shared" si="0"/>
        <v>165.75332792922416</v>
      </c>
      <c r="D15" s="17">
        <f t="shared" si="1"/>
        <v>156.88150042720324</v>
      </c>
      <c r="E15" s="17">
        <f t="shared" si="2"/>
        <v>12.118499572796765</v>
      </c>
      <c r="F15" s="17">
        <f t="shared" si="3"/>
        <v>146.85803189587537</v>
      </c>
    </row>
    <row r="16" spans="1:6" x14ac:dyDescent="0.25">
      <c r="A16">
        <v>11</v>
      </c>
      <c r="B16">
        <v>173</v>
      </c>
      <c r="C16" s="17">
        <f t="shared" si="0"/>
        <v>171.0585411851585</v>
      </c>
      <c r="D16" s="17">
        <f t="shared" si="1"/>
        <v>165.75332792922416</v>
      </c>
      <c r="E16" s="17">
        <f t="shared" si="2"/>
        <v>7.2466720707758441</v>
      </c>
      <c r="F16" s="17">
        <f t="shared" si="3"/>
        <v>52.514256101362662</v>
      </c>
    </row>
    <row r="17" spans="1:6" x14ac:dyDescent="0.25">
      <c r="A17">
        <v>12</v>
      </c>
      <c r="B17">
        <v>203</v>
      </c>
      <c r="C17" s="17">
        <f t="shared" si="0"/>
        <v>194.44255098487827</v>
      </c>
      <c r="D17" s="17">
        <f t="shared" si="1"/>
        <v>171.0585411851585</v>
      </c>
      <c r="E17" s="17">
        <f t="shared" si="2"/>
        <v>31.941458814841496</v>
      </c>
      <c r="F17" s="17">
        <f t="shared" si="3"/>
        <v>1020.2567912202155</v>
      </c>
    </row>
    <row r="18" spans="1:6" x14ac:dyDescent="0.25">
      <c r="A18">
        <v>13</v>
      </c>
      <c r="B18">
        <v>169</v>
      </c>
      <c r="C18" s="17">
        <f t="shared" si="0"/>
        <v>175.81632401731653</v>
      </c>
      <c r="D18" s="17">
        <f t="shared" si="1"/>
        <v>194.44255098487827</v>
      </c>
      <c r="E18" s="17">
        <f t="shared" si="2"/>
        <v>-25.442550984878267</v>
      </c>
      <c r="F18" s="17">
        <f t="shared" si="3"/>
        <v>647.32340061813011</v>
      </c>
    </row>
    <row r="19" spans="1:6" x14ac:dyDescent="0.25">
      <c r="A19">
        <v>14</v>
      </c>
      <c r="B19">
        <v>166</v>
      </c>
      <c r="C19" s="17">
        <f t="shared" si="0"/>
        <v>168.62989529629965</v>
      </c>
      <c r="D19" s="17">
        <f t="shared" si="1"/>
        <v>175.81632401731653</v>
      </c>
      <c r="E19" s="17">
        <f t="shared" si="2"/>
        <v>-9.816324017316532</v>
      </c>
      <c r="F19" s="17">
        <f t="shared" si="3"/>
        <v>96.360217212945372</v>
      </c>
    </row>
    <row r="20" spans="1:6" x14ac:dyDescent="0.25">
      <c r="A20">
        <v>15</v>
      </c>
      <c r="B20">
        <v>162</v>
      </c>
      <c r="C20" s="17">
        <f t="shared" si="0"/>
        <v>163.77621790233695</v>
      </c>
      <c r="D20" s="17">
        <f t="shared" si="1"/>
        <v>168.62989529629965</v>
      </c>
      <c r="E20" s="17">
        <f t="shared" si="2"/>
        <v>-6.6298952962996509</v>
      </c>
      <c r="F20" s="17">
        <f t="shared" si="3"/>
        <v>43.955511639896237</v>
      </c>
    </row>
    <row r="21" spans="1:6" x14ac:dyDescent="0.25">
      <c r="A21">
        <v>16</v>
      </c>
      <c r="B21">
        <v>147</v>
      </c>
      <c r="C21" s="17">
        <f t="shared" si="0"/>
        <v>151.49452325261723</v>
      </c>
      <c r="D21" s="17">
        <f t="shared" si="1"/>
        <v>163.77621790233695</v>
      </c>
      <c r="E21" s="17">
        <f t="shared" si="2"/>
        <v>-16.776217902336953</v>
      </c>
      <c r="F21" s="17">
        <f t="shared" si="3"/>
        <v>281.44148710669089</v>
      </c>
    </row>
    <row r="22" spans="1:6" x14ac:dyDescent="0.25">
      <c r="A22">
        <v>17</v>
      </c>
      <c r="B22">
        <v>188</v>
      </c>
      <c r="C22" s="17">
        <f t="shared" si="0"/>
        <v>178.21980311389888</v>
      </c>
      <c r="D22" s="17">
        <f t="shared" si="1"/>
        <v>151.49452325261723</v>
      </c>
      <c r="E22" s="17">
        <f t="shared" si="2"/>
        <v>36.505476747382772</v>
      </c>
      <c r="F22" s="17">
        <f t="shared" si="3"/>
        <v>1332.6498325537043</v>
      </c>
    </row>
    <row r="23" spans="1:6" x14ac:dyDescent="0.25">
      <c r="A23">
        <v>18</v>
      </c>
      <c r="B23">
        <v>161</v>
      </c>
      <c r="C23" s="17">
        <f t="shared" si="0"/>
        <v>165.61336434418439</v>
      </c>
      <c r="D23" s="17">
        <f t="shared" si="1"/>
        <v>178.21980311389888</v>
      </c>
      <c r="E23" s="17">
        <f t="shared" si="2"/>
        <v>-17.219803113898877</v>
      </c>
      <c r="F23" s="17">
        <f t="shared" si="3"/>
        <v>296.52161928144147</v>
      </c>
    </row>
    <row r="24" spans="1:6" x14ac:dyDescent="0.25">
      <c r="A24">
        <v>19</v>
      </c>
      <c r="B24">
        <v>162</v>
      </c>
      <c r="C24" s="17">
        <f t="shared" si="0"/>
        <v>162.96805788763942</v>
      </c>
      <c r="D24" s="17">
        <f t="shared" si="1"/>
        <v>165.61336434418439</v>
      </c>
      <c r="E24" s="17">
        <f t="shared" si="2"/>
        <v>-3.6133643441843901</v>
      </c>
      <c r="F24" s="17">
        <f t="shared" si="3"/>
        <v>13.056401883823087</v>
      </c>
    </row>
    <row r="25" spans="1:6" x14ac:dyDescent="0.25">
      <c r="A25">
        <v>20</v>
      </c>
      <c r="B25">
        <v>169</v>
      </c>
      <c r="C25" s="17">
        <f t="shared" si="0"/>
        <v>167.383979974493</v>
      </c>
      <c r="D25" s="17">
        <f t="shared" si="1"/>
        <v>162.96805788763942</v>
      </c>
      <c r="E25" s="17">
        <f t="shared" si="2"/>
        <v>6.0319421123605821</v>
      </c>
      <c r="F25" s="17">
        <f t="shared" si="3"/>
        <v>36.384325646869044</v>
      </c>
    </row>
    <row r="26" spans="1:6" x14ac:dyDescent="0.25">
      <c r="A26">
        <v>21</v>
      </c>
      <c r="B26">
        <v>185</v>
      </c>
      <c r="C26" s="17">
        <f t="shared" si="0"/>
        <v>180.28048502444744</v>
      </c>
      <c r="D26" s="17">
        <f t="shared" si="1"/>
        <v>167.383979974493</v>
      </c>
      <c r="E26" s="17">
        <f t="shared" si="2"/>
        <v>17.616020025506998</v>
      </c>
      <c r="F26" s="17">
        <f t="shared" si="3"/>
        <v>310.3241615390636</v>
      </c>
    </row>
    <row r="27" spans="1:6" x14ac:dyDescent="0.25">
      <c r="A27">
        <v>22</v>
      </c>
      <c r="B27">
        <v>188</v>
      </c>
      <c r="C27" s="17">
        <f t="shared" si="0"/>
        <v>185.93186165329226</v>
      </c>
      <c r="D27" s="17">
        <f t="shared" si="1"/>
        <v>180.28048502444744</v>
      </c>
      <c r="E27" s="17">
        <f t="shared" si="2"/>
        <v>7.7195149755525563</v>
      </c>
      <c r="F27" s="17">
        <f t="shared" si="3"/>
        <v>59.59091145778018</v>
      </c>
    </row>
    <row r="28" spans="1:6" x14ac:dyDescent="0.25">
      <c r="A28">
        <v>23</v>
      </c>
      <c r="B28">
        <v>200</v>
      </c>
      <c r="C28" s="17">
        <f t="shared" si="0"/>
        <v>196.23099942499519</v>
      </c>
      <c r="D28" s="17">
        <f t="shared" si="1"/>
        <v>185.93186165329226</v>
      </c>
      <c r="E28" s="17">
        <f t="shared" si="2"/>
        <v>14.068138346707741</v>
      </c>
      <c r="F28" s="17">
        <f t="shared" si="3"/>
        <v>197.91251654210882</v>
      </c>
    </row>
    <row r="29" spans="1:6" x14ac:dyDescent="0.25">
      <c r="A29">
        <v>24</v>
      </c>
      <c r="B29">
        <v>229</v>
      </c>
      <c r="C29" s="17">
        <f t="shared" si="0"/>
        <v>220.22084394070311</v>
      </c>
      <c r="D29" s="17">
        <f t="shared" si="1"/>
        <v>196.23099942499519</v>
      </c>
      <c r="E29" s="17">
        <f t="shared" si="2"/>
        <v>32.76900057500481</v>
      </c>
      <c r="F29" s="17">
        <f t="shared" si="3"/>
        <v>1073.8073986846655</v>
      </c>
    </row>
    <row r="30" spans="1:6" x14ac:dyDescent="0.25">
      <c r="A30">
        <v>25</v>
      </c>
      <c r="B30">
        <v>189</v>
      </c>
      <c r="C30" s="17">
        <f t="shared" si="0"/>
        <v>197.36438879577719</v>
      </c>
      <c r="D30" s="17">
        <f t="shared" si="1"/>
        <v>220.22084394070311</v>
      </c>
      <c r="E30" s="17">
        <f t="shared" si="2"/>
        <v>-31.220843940703105</v>
      </c>
      <c r="F30" s="17">
        <f t="shared" si="3"/>
        <v>974.74109636973776</v>
      </c>
    </row>
    <row r="31" spans="1:6" x14ac:dyDescent="0.25">
      <c r="A31">
        <v>26</v>
      </c>
      <c r="B31">
        <v>218</v>
      </c>
      <c r="C31" s="17">
        <f t="shared" si="0"/>
        <v>212.47150514321655</v>
      </c>
      <c r="D31" s="17">
        <f t="shared" si="1"/>
        <v>197.36438879577719</v>
      </c>
      <c r="E31" s="17">
        <f t="shared" si="2"/>
        <v>20.635611204222812</v>
      </c>
      <c r="F31" s="17">
        <f t="shared" si="3"/>
        <v>425.82844977184607</v>
      </c>
    </row>
    <row r="32" spans="1:6" x14ac:dyDescent="0.25">
      <c r="A32">
        <v>27</v>
      </c>
      <c r="B32">
        <v>185</v>
      </c>
      <c r="C32" s="17">
        <f t="shared" si="0"/>
        <v>192.35990193793208</v>
      </c>
      <c r="D32" s="17">
        <f t="shared" si="1"/>
        <v>212.47150514321655</v>
      </c>
      <c r="E32" s="17">
        <f t="shared" si="2"/>
        <v>-27.471505143216547</v>
      </c>
      <c r="F32" s="17">
        <f t="shared" si="3"/>
        <v>754.68359483377321</v>
      </c>
    </row>
    <row r="33" spans="1:6" x14ac:dyDescent="0.25">
      <c r="A33">
        <v>28</v>
      </c>
      <c r="B33">
        <v>199</v>
      </c>
      <c r="C33" s="17">
        <f t="shared" si="0"/>
        <v>197.22104867060258</v>
      </c>
      <c r="D33" s="17">
        <f t="shared" si="1"/>
        <v>192.35990193793208</v>
      </c>
      <c r="E33" s="17">
        <f t="shared" si="2"/>
        <v>6.6400980620679206</v>
      </c>
      <c r="F33" s="17">
        <f t="shared" si="3"/>
        <v>44.090902273878157</v>
      </c>
    </row>
    <row r="34" spans="1:6" x14ac:dyDescent="0.25">
      <c r="A34">
        <v>29</v>
      </c>
      <c r="B34">
        <v>210</v>
      </c>
      <c r="C34" s="17">
        <f t="shared" si="0"/>
        <v>206.57638603477844</v>
      </c>
      <c r="D34" s="17">
        <f t="shared" si="1"/>
        <v>197.22104867060258</v>
      </c>
      <c r="E34" s="17">
        <f t="shared" si="2"/>
        <v>12.778951329397415</v>
      </c>
      <c r="F34" s="17">
        <f t="shared" si="3"/>
        <v>163.30159707910798</v>
      </c>
    </row>
    <row r="35" spans="1:6" x14ac:dyDescent="0.25">
      <c r="A35">
        <v>30</v>
      </c>
      <c r="B35">
        <v>193</v>
      </c>
      <c r="C35" s="17">
        <f t="shared" si="0"/>
        <v>196.63725501630014</v>
      </c>
      <c r="D35" s="17">
        <f t="shared" si="1"/>
        <v>206.57638603477844</v>
      </c>
      <c r="E35" s="17">
        <f t="shared" si="2"/>
        <v>-13.576386034778437</v>
      </c>
      <c r="F35" s="17">
        <f t="shared" si="3"/>
        <v>184.31825776532699</v>
      </c>
    </row>
    <row r="36" spans="1:6" x14ac:dyDescent="0.25">
      <c r="A36">
        <v>31</v>
      </c>
      <c r="B36">
        <v>211</v>
      </c>
      <c r="C36" s="17">
        <f t="shared" si="0"/>
        <v>207.15207124296722</v>
      </c>
      <c r="D36" s="17">
        <f t="shared" si="1"/>
        <v>196.63725501630014</v>
      </c>
      <c r="E36" s="17">
        <f t="shared" si="2"/>
        <v>14.362744983699855</v>
      </c>
      <c r="F36" s="17">
        <f t="shared" si="3"/>
        <v>206.28844346679534</v>
      </c>
    </row>
    <row r="37" spans="1:6" x14ac:dyDescent="0.25">
      <c r="A37">
        <v>32</v>
      </c>
      <c r="B37">
        <v>208</v>
      </c>
      <c r="C37" s="17">
        <f t="shared" si="0"/>
        <v>207.77283106733398</v>
      </c>
      <c r="D37" s="17">
        <f t="shared" si="1"/>
        <v>207.15207124296722</v>
      </c>
      <c r="E37" s="17">
        <f t="shared" si="2"/>
        <v>0.84792875703277559</v>
      </c>
      <c r="F37" s="17">
        <f t="shared" si="3"/>
        <v>0.71898317700314773</v>
      </c>
    </row>
    <row r="38" spans="1:6" x14ac:dyDescent="0.25">
      <c r="A38">
        <v>33</v>
      </c>
      <c r="B38">
        <v>216</v>
      </c>
      <c r="C38" s="17">
        <f t="shared" si="0"/>
        <v>213.79585587846194</v>
      </c>
      <c r="D38" s="17">
        <f t="shared" si="1"/>
        <v>207.77283106733398</v>
      </c>
      <c r="E38" s="17">
        <f t="shared" si="2"/>
        <v>8.227168932666018</v>
      </c>
      <c r="F38" s="17">
        <f t="shared" si="3"/>
        <v>67.686308646624909</v>
      </c>
    </row>
    <row r="39" spans="1:6" x14ac:dyDescent="0.25">
      <c r="A39">
        <v>34</v>
      </c>
      <c r="B39">
        <v>218</v>
      </c>
      <c r="C39" s="17">
        <f t="shared" si="0"/>
        <v>216.87366606575998</v>
      </c>
      <c r="D39" s="17">
        <f t="shared" si="1"/>
        <v>213.79585587846194</v>
      </c>
      <c r="E39" s="17">
        <f t="shared" si="2"/>
        <v>4.2041441215380644</v>
      </c>
      <c r="F39" s="17">
        <f t="shared" si="3"/>
        <v>17.674827794663063</v>
      </c>
    </row>
    <row r="40" spans="1:6" x14ac:dyDescent="0.25">
      <c r="A40">
        <v>35</v>
      </c>
      <c r="B40">
        <v>264</v>
      </c>
      <c r="C40" s="17">
        <f t="shared" si="0"/>
        <v>251.37436501414655</v>
      </c>
      <c r="D40" s="17">
        <f t="shared" si="1"/>
        <v>216.87366606575998</v>
      </c>
      <c r="E40" s="17">
        <f t="shared" si="2"/>
        <v>47.126333934240023</v>
      </c>
      <c r="F40" s="17">
        <f t="shared" si="3"/>
        <v>2220.8913500815029</v>
      </c>
    </row>
    <row r="41" spans="1:6" x14ac:dyDescent="0.25">
      <c r="A41">
        <v>36</v>
      </c>
      <c r="B41">
        <v>304</v>
      </c>
      <c r="C41" s="17">
        <f t="shared" si="0"/>
        <v>289.90104506840504</v>
      </c>
      <c r="D41" s="17">
        <f t="shared" si="1"/>
        <v>251.37436501414655</v>
      </c>
      <c r="E41" s="17">
        <f t="shared" si="2"/>
        <v>52.625634985853452</v>
      </c>
      <c r="F41" s="17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53"/>
  <sheetViews>
    <sheetView workbookViewId="0">
      <pane ySplit="4" topLeftCell="A5" activePane="bottomLeft" state="frozen"/>
      <selection activeCell="O15" sqref="O15"/>
      <selection pane="bottomLeft" activeCell="F10" sqref="F10"/>
    </sheetView>
  </sheetViews>
  <sheetFormatPr defaultColWidth="11" defaultRowHeight="15.75" x14ac:dyDescent="0.25"/>
  <cols>
    <col min="1" max="1" width="12" bestFit="1" customWidth="1"/>
    <col min="3" max="3" width="10.875" style="17"/>
    <col min="4" max="4" width="11.875" style="17" customWidth="1"/>
    <col min="5" max="7" width="10.875" style="17" customWidth="1"/>
  </cols>
  <sheetData>
    <row r="1" spans="1:8" s="1" customFormat="1" ht="63" x14ac:dyDescent="0.25">
      <c r="A1" s="1" t="s">
        <v>14</v>
      </c>
      <c r="C1" s="18" t="s">
        <v>15</v>
      </c>
      <c r="D1" s="18" t="s">
        <v>16</v>
      </c>
      <c r="E1" s="18"/>
      <c r="F1" s="18" t="s">
        <v>8</v>
      </c>
      <c r="G1" s="18" t="s">
        <v>9</v>
      </c>
    </row>
    <row r="2" spans="1:8" x14ac:dyDescent="0.25">
      <c r="A2">
        <v>36</v>
      </c>
      <c r="C2" s="17">
        <v>0.65910004656016274</v>
      </c>
      <c r="D2" s="17">
        <v>5.3117180460981163E-2</v>
      </c>
      <c r="F2" s="17">
        <f>SUM(G6:G41)</f>
        <v>14097.280825537555</v>
      </c>
      <c r="G2" s="17">
        <f>SQRT(F2/(36-2))</f>
        <v>20.362364956788724</v>
      </c>
    </row>
    <row r="4" spans="1:8" ht="27" customHeight="1" x14ac:dyDescent="0.25">
      <c r="A4" s="1" t="s">
        <v>1</v>
      </c>
      <c r="B4" s="1" t="s">
        <v>3</v>
      </c>
      <c r="C4" s="17" t="s">
        <v>12</v>
      </c>
      <c r="D4" s="17" t="s">
        <v>28</v>
      </c>
      <c r="E4" s="18" t="s">
        <v>5</v>
      </c>
      <c r="F4" s="18" t="s">
        <v>6</v>
      </c>
      <c r="G4" s="18" t="s">
        <v>7</v>
      </c>
      <c r="H4" s="1"/>
    </row>
    <row r="5" spans="1:8" x14ac:dyDescent="0.25">
      <c r="A5" s="6">
        <v>0</v>
      </c>
      <c r="B5" s="6"/>
      <c r="C5" s="20">
        <v>155.88</v>
      </c>
      <c r="D5" s="20">
        <v>0.83689999999999998</v>
      </c>
      <c r="E5" s="20"/>
      <c r="F5" s="20"/>
      <c r="G5" s="20"/>
    </row>
    <row r="6" spans="1:8" x14ac:dyDescent="0.25">
      <c r="A6">
        <v>1</v>
      </c>
      <c r="B6">
        <v>165</v>
      </c>
      <c r="C6" s="17">
        <f>C5+D5+C$2*F6</f>
        <v>162.17629159566249</v>
      </c>
      <c r="D6" s="17">
        <f>D5+D$2*C$2*F6</f>
        <v>1.1268874885939677</v>
      </c>
      <c r="E6" s="17">
        <f>C5+D5</f>
        <v>156.71690000000001</v>
      </c>
      <c r="F6" s="17">
        <f>B6-E6</f>
        <v>8.2830999999999904</v>
      </c>
      <c r="G6" s="17">
        <f>F6^2</f>
        <v>68.609745609999834</v>
      </c>
    </row>
    <row r="7" spans="1:8" x14ac:dyDescent="0.25">
      <c r="A7">
        <v>2</v>
      </c>
      <c r="B7">
        <v>171</v>
      </c>
      <c r="C7" s="17">
        <f t="shared" ref="C7:C41" si="0">C6+D6+C$2*F7</f>
        <v>168.37615410818827</v>
      </c>
      <c r="D7" s="17">
        <f t="shared" ref="D7:D41" si="1">D6+D$2*C$2*F7</f>
        <v>1.396349618414203</v>
      </c>
      <c r="E7" s="17">
        <f t="shared" ref="E7:E41" si="2">C6+D6</f>
        <v>163.30317908425647</v>
      </c>
      <c r="F7" s="17">
        <f t="shared" ref="F7:F41" si="3">B7-E7</f>
        <v>7.6968209157435297</v>
      </c>
      <c r="G7" s="17">
        <f t="shared" ref="G7:G41" si="4">F7^2</f>
        <v>59.241052209027067</v>
      </c>
    </row>
    <row r="8" spans="1:8" x14ac:dyDescent="0.25">
      <c r="A8">
        <v>3</v>
      </c>
      <c r="B8">
        <v>147</v>
      </c>
      <c r="C8" s="17">
        <f t="shared" si="0"/>
        <v>154.7631454601073</v>
      </c>
      <c r="D8" s="17">
        <f t="shared" si="1"/>
        <v>0.59909482676925951</v>
      </c>
      <c r="E8" s="17">
        <f t="shared" si="2"/>
        <v>169.77250372660248</v>
      </c>
      <c r="F8" s="17">
        <f t="shared" si="3"/>
        <v>-22.77250372660248</v>
      </c>
      <c r="G8" s="17">
        <f t="shared" si="4"/>
        <v>518.58692597812387</v>
      </c>
    </row>
    <row r="9" spans="1:8" x14ac:dyDescent="0.25">
      <c r="A9">
        <v>4</v>
      </c>
      <c r="B9">
        <v>143</v>
      </c>
      <c r="C9" s="17">
        <f t="shared" si="0"/>
        <v>147.21428713820831</v>
      </c>
      <c r="D9" s="17">
        <f t="shared" si="1"/>
        <v>0.16629852898382796</v>
      </c>
      <c r="E9" s="17">
        <f t="shared" si="2"/>
        <v>155.36224028687656</v>
      </c>
      <c r="F9" s="17">
        <f t="shared" si="3"/>
        <v>-12.362240286876556</v>
      </c>
      <c r="G9" s="17">
        <f t="shared" si="4"/>
        <v>152.82498491047375</v>
      </c>
    </row>
    <row r="10" spans="1:8" x14ac:dyDescent="0.25">
      <c r="A10">
        <v>5</v>
      </c>
      <c r="B10">
        <v>164</v>
      </c>
      <c r="C10" s="17">
        <f t="shared" si="0"/>
        <v>158.33444242774843</v>
      </c>
      <c r="D10" s="17">
        <f t="shared" si="1"/>
        <v>0.74813651527803593</v>
      </c>
      <c r="E10" s="17">
        <f t="shared" si="2"/>
        <v>147.38058566719212</v>
      </c>
      <c r="F10" s="17">
        <f t="shared" si="3"/>
        <v>16.619414332807878</v>
      </c>
      <c r="G10" s="17">
        <f t="shared" si="4"/>
        <v>276.20493276553992</v>
      </c>
    </row>
    <row r="11" spans="1:8" x14ac:dyDescent="0.25">
      <c r="A11">
        <v>6</v>
      </c>
      <c r="B11">
        <v>160</v>
      </c>
      <c r="C11" s="17">
        <f t="shared" si="0"/>
        <v>159.68725120439299</v>
      </c>
      <c r="D11" s="17">
        <f t="shared" si="1"/>
        <v>0.78025500090479105</v>
      </c>
      <c r="E11" s="17">
        <f t="shared" si="2"/>
        <v>159.08257894302648</v>
      </c>
      <c r="F11" s="17">
        <f t="shared" si="3"/>
        <v>0.91742105697352372</v>
      </c>
      <c r="G11" s="17">
        <f t="shared" si="4"/>
        <v>0.84166139577841748</v>
      </c>
    </row>
    <row r="12" spans="1:8" x14ac:dyDescent="0.25">
      <c r="A12">
        <v>7</v>
      </c>
      <c r="B12">
        <v>152</v>
      </c>
      <c r="C12" s="17">
        <f t="shared" si="0"/>
        <v>154.88657247113755</v>
      </c>
      <c r="D12" s="17">
        <f t="shared" si="1"/>
        <v>0.4838115366066244</v>
      </c>
      <c r="E12" s="17">
        <f t="shared" si="2"/>
        <v>160.46750620529778</v>
      </c>
      <c r="F12" s="17">
        <f t="shared" si="3"/>
        <v>-8.4675062052977808</v>
      </c>
      <c r="G12" s="17">
        <f t="shared" si="4"/>
        <v>71.698661336756416</v>
      </c>
    </row>
    <row r="13" spans="1:8" x14ac:dyDescent="0.25">
      <c r="A13">
        <v>8</v>
      </c>
      <c r="B13">
        <v>150</v>
      </c>
      <c r="C13" s="17">
        <f t="shared" si="0"/>
        <v>151.83076365819403</v>
      </c>
      <c r="D13" s="17">
        <f t="shared" si="1"/>
        <v>0.29579688373620833</v>
      </c>
      <c r="E13" s="17">
        <f t="shared" si="2"/>
        <v>155.37038400774418</v>
      </c>
      <c r="F13" s="17">
        <f t="shared" si="3"/>
        <v>-5.3703840077441782</v>
      </c>
      <c r="G13" s="17">
        <f t="shared" si="4"/>
        <v>28.841024390634423</v>
      </c>
    </row>
    <row r="14" spans="1:8" x14ac:dyDescent="0.25">
      <c r="A14">
        <v>9</v>
      </c>
      <c r="B14">
        <v>159</v>
      </c>
      <c r="C14" s="17">
        <f t="shared" si="0"/>
        <v>156.65684480877249</v>
      </c>
      <c r="D14" s="17">
        <f t="shared" si="1"/>
        <v>0.53643281067761106</v>
      </c>
      <c r="E14" s="17">
        <f t="shared" si="2"/>
        <v>152.12656054193025</v>
      </c>
      <c r="F14" s="17">
        <f t="shared" si="3"/>
        <v>6.873439458069754</v>
      </c>
      <c r="G14" s="17">
        <f t="shared" si="4"/>
        <v>47.244169983750233</v>
      </c>
    </row>
    <row r="15" spans="1:8" x14ac:dyDescent="0.25">
      <c r="A15">
        <v>10</v>
      </c>
      <c r="B15">
        <v>169</v>
      </c>
      <c r="C15" s="17">
        <f t="shared" si="0"/>
        <v>164.97508889019346</v>
      </c>
      <c r="D15" s="17">
        <f t="shared" si="1"/>
        <v>0.94978068425898288</v>
      </c>
      <c r="E15" s="17">
        <f t="shared" si="2"/>
        <v>157.1932776194501</v>
      </c>
      <c r="F15" s="17">
        <f t="shared" si="3"/>
        <v>11.8067223805499</v>
      </c>
      <c r="G15" s="17">
        <f t="shared" si="4"/>
        <v>139.3986933713779</v>
      </c>
    </row>
    <row r="16" spans="1:8" x14ac:dyDescent="0.25">
      <c r="A16">
        <v>11</v>
      </c>
      <c r="B16">
        <v>173</v>
      </c>
      <c r="C16" s="17">
        <f t="shared" si="0"/>
        <v>170.58808836735005</v>
      </c>
      <c r="D16" s="17">
        <f t="shared" si="1"/>
        <v>1.197477718410364</v>
      </c>
      <c r="E16" s="17">
        <f t="shared" si="2"/>
        <v>165.92486957445246</v>
      </c>
      <c r="F16" s="17">
        <f t="shared" si="3"/>
        <v>7.0751304255475418</v>
      </c>
      <c r="G16" s="17">
        <f t="shared" si="4"/>
        <v>50.057470538508539</v>
      </c>
    </row>
    <row r="17" spans="1:7" x14ac:dyDescent="0.25">
      <c r="A17">
        <v>12</v>
      </c>
      <c r="B17">
        <v>203</v>
      </c>
      <c r="C17" s="17">
        <f t="shared" si="0"/>
        <v>192.35900093198484</v>
      </c>
      <c r="D17" s="17">
        <f t="shared" si="1"/>
        <v>2.2902805698395055</v>
      </c>
      <c r="E17" s="17">
        <f t="shared" si="2"/>
        <v>171.78556608576042</v>
      </c>
      <c r="F17" s="17">
        <f t="shared" si="3"/>
        <v>31.214433914239578</v>
      </c>
      <c r="G17" s="17">
        <f t="shared" si="4"/>
        <v>974.34088458642998</v>
      </c>
    </row>
    <row r="18" spans="1:7" x14ac:dyDescent="0.25">
      <c r="A18">
        <v>13</v>
      </c>
      <c r="B18">
        <v>169</v>
      </c>
      <c r="C18" s="17">
        <f t="shared" si="0"/>
        <v>177.7438388697372</v>
      </c>
      <c r="D18" s="17">
        <f t="shared" si="1"/>
        <v>1.3923111227781684</v>
      </c>
      <c r="E18" s="17">
        <f t="shared" si="2"/>
        <v>194.64928150182433</v>
      </c>
      <c r="F18" s="17">
        <f t="shared" si="3"/>
        <v>-25.649281501824333</v>
      </c>
      <c r="G18" s="17">
        <f t="shared" si="4"/>
        <v>657.88564155982795</v>
      </c>
    </row>
    <row r="19" spans="1:7" x14ac:dyDescent="0.25">
      <c r="A19">
        <v>14</v>
      </c>
      <c r="B19">
        <v>166</v>
      </c>
      <c r="C19" s="17">
        <f t="shared" si="0"/>
        <v>170.47811292082721</v>
      </c>
      <c r="D19" s="17">
        <f t="shared" si="1"/>
        <v>0.93242060520344294</v>
      </c>
      <c r="E19" s="17">
        <f t="shared" si="2"/>
        <v>179.13614999251539</v>
      </c>
      <c r="F19" s="17">
        <f t="shared" si="3"/>
        <v>-13.136149992515385</v>
      </c>
      <c r="G19" s="17">
        <f t="shared" si="4"/>
        <v>172.55843662586196</v>
      </c>
    </row>
    <row r="20" spans="1:7" x14ac:dyDescent="0.25">
      <c r="A20">
        <v>15</v>
      </c>
      <c r="B20">
        <v>162</v>
      </c>
      <c r="C20" s="17">
        <f t="shared" si="0"/>
        <v>165.20805044086788</v>
      </c>
      <c r="D20" s="17">
        <f t="shared" si="1"/>
        <v>0.60296219186266831</v>
      </c>
      <c r="E20" s="17">
        <f t="shared" si="2"/>
        <v>171.41053352603066</v>
      </c>
      <c r="F20" s="17">
        <f t="shared" si="3"/>
        <v>-9.4105335260306617</v>
      </c>
      <c r="G20" s="17">
        <f t="shared" si="4"/>
        <v>88.558141244547073</v>
      </c>
    </row>
    <row r="21" spans="1:7" x14ac:dyDescent="0.25">
      <c r="A21">
        <v>16</v>
      </c>
      <c r="B21">
        <v>147</v>
      </c>
      <c r="C21" s="17">
        <f t="shared" si="0"/>
        <v>153.41267333065403</v>
      </c>
      <c r="D21" s="17">
        <f t="shared" si="1"/>
        <v>-5.5602634262205242E-2</v>
      </c>
      <c r="E21" s="17">
        <f t="shared" si="2"/>
        <v>165.81101263273055</v>
      </c>
      <c r="F21" s="17">
        <f t="shared" si="3"/>
        <v>-18.811012632730552</v>
      </c>
      <c r="G21" s="17">
        <f t="shared" si="4"/>
        <v>353.85419626874841</v>
      </c>
    </row>
    <row r="22" spans="1:7" x14ac:dyDescent="0.25">
      <c r="A22">
        <v>17</v>
      </c>
      <c r="B22">
        <v>188</v>
      </c>
      <c r="C22" s="17">
        <f t="shared" si="0"/>
        <v>176.19022701338039</v>
      </c>
      <c r="D22" s="17">
        <f t="shared" si="1"/>
        <v>1.1572302503210694</v>
      </c>
      <c r="E22" s="17">
        <f t="shared" si="2"/>
        <v>153.35707069639182</v>
      </c>
      <c r="F22" s="17">
        <f t="shared" si="3"/>
        <v>34.642929303608184</v>
      </c>
      <c r="G22" s="17">
        <f t="shared" si="4"/>
        <v>1200.1325507347947</v>
      </c>
    </row>
    <row r="23" spans="1:7" x14ac:dyDescent="0.25">
      <c r="A23">
        <v>18</v>
      </c>
      <c r="B23">
        <v>161</v>
      </c>
      <c r="C23" s="17">
        <f t="shared" si="0"/>
        <v>166.57284742005555</v>
      </c>
      <c r="D23" s="17">
        <f t="shared" si="1"/>
        <v>0.5849133548594655</v>
      </c>
      <c r="E23" s="17">
        <f t="shared" si="2"/>
        <v>177.34745726370147</v>
      </c>
      <c r="F23" s="17">
        <f t="shared" si="3"/>
        <v>-16.347457263701472</v>
      </c>
      <c r="G23" s="17">
        <f t="shared" si="4"/>
        <v>267.23935898854603</v>
      </c>
    </row>
    <row r="24" spans="1:7" x14ac:dyDescent="0.25">
      <c r="A24">
        <v>19</v>
      </c>
      <c r="B24">
        <v>162</v>
      </c>
      <c r="C24" s="17">
        <f t="shared" si="0"/>
        <v>163.75828040802236</v>
      </c>
      <c r="D24" s="17">
        <f t="shared" si="1"/>
        <v>0.40434254273766557</v>
      </c>
      <c r="E24" s="17">
        <f t="shared" si="2"/>
        <v>167.157760774915</v>
      </c>
      <c r="F24" s="17">
        <f t="shared" si="3"/>
        <v>-5.1577607749150047</v>
      </c>
      <c r="G24" s="17">
        <f t="shared" si="4"/>
        <v>26.602496211251829</v>
      </c>
    </row>
    <row r="25" spans="1:7" x14ac:dyDescent="0.25">
      <c r="A25">
        <v>20</v>
      </c>
      <c r="B25">
        <v>169</v>
      </c>
      <c r="C25" s="17">
        <f t="shared" si="0"/>
        <v>167.35093838914315</v>
      </c>
      <c r="D25" s="17">
        <f t="shared" si="1"/>
        <v>0.57369686924479502</v>
      </c>
      <c r="E25" s="17">
        <f t="shared" si="2"/>
        <v>164.16262295076001</v>
      </c>
      <c r="F25" s="17">
        <f t="shared" si="3"/>
        <v>4.8373770492399899</v>
      </c>
      <c r="G25" s="17">
        <f t="shared" si="4"/>
        <v>23.400216716513793</v>
      </c>
    </row>
    <row r="26" spans="1:7" x14ac:dyDescent="0.25">
      <c r="A26">
        <v>21</v>
      </c>
      <c r="B26">
        <v>185</v>
      </c>
      <c r="C26" s="17">
        <f t="shared" si="0"/>
        <v>179.17900895461622</v>
      </c>
      <c r="D26" s="17">
        <f t="shared" si="1"/>
        <v>1.1714974678426713</v>
      </c>
      <c r="E26" s="17">
        <f t="shared" si="2"/>
        <v>167.92463525838795</v>
      </c>
      <c r="F26" s="17">
        <f t="shared" si="3"/>
        <v>17.075364741612049</v>
      </c>
      <c r="G26" s="17">
        <f t="shared" si="4"/>
        <v>291.56808105908789</v>
      </c>
    </row>
    <row r="27" spans="1:7" x14ac:dyDescent="0.25">
      <c r="A27">
        <v>22</v>
      </c>
      <c r="B27">
        <v>188</v>
      </c>
      <c r="C27" s="17">
        <f t="shared" si="0"/>
        <v>185.3922879955779</v>
      </c>
      <c r="D27" s="17">
        <f t="shared" si="1"/>
        <v>1.4393026895068832</v>
      </c>
      <c r="E27" s="17">
        <f t="shared" si="2"/>
        <v>180.35050642245889</v>
      </c>
      <c r="F27" s="17">
        <f t="shared" si="3"/>
        <v>7.6494935775411079</v>
      </c>
      <c r="G27" s="17">
        <f t="shared" si="4"/>
        <v>58.514751992842655</v>
      </c>
    </row>
    <row r="28" spans="1:7" x14ac:dyDescent="0.25">
      <c r="A28">
        <v>23</v>
      </c>
      <c r="B28">
        <v>200</v>
      </c>
      <c r="C28" s="17">
        <f t="shared" si="0"/>
        <v>195.51088987766869</v>
      </c>
      <c r="D28" s="17">
        <f t="shared" si="1"/>
        <v>1.9003225909942101</v>
      </c>
      <c r="E28" s="17">
        <f t="shared" si="2"/>
        <v>186.83159068508479</v>
      </c>
      <c r="F28" s="17">
        <f t="shared" si="3"/>
        <v>13.168409314915209</v>
      </c>
      <c r="G28" s="17">
        <f t="shared" si="4"/>
        <v>173.40700388514566</v>
      </c>
    </row>
    <row r="29" spans="1:7" x14ac:dyDescent="0.25">
      <c r="A29">
        <v>24</v>
      </c>
      <c r="B29">
        <v>229</v>
      </c>
      <c r="C29" s="17">
        <f t="shared" si="0"/>
        <v>218.23138380134628</v>
      </c>
      <c r="D29" s="17">
        <f t="shared" si="1"/>
        <v>3.0062313889008987</v>
      </c>
      <c r="E29" s="17">
        <f t="shared" si="2"/>
        <v>197.41121246866291</v>
      </c>
      <c r="F29" s="17">
        <f t="shared" si="3"/>
        <v>31.58878753133709</v>
      </c>
      <c r="G29" s="17">
        <f t="shared" si="4"/>
        <v>997.85149769995758</v>
      </c>
    </row>
    <row r="30" spans="1:7" x14ac:dyDescent="0.25">
      <c r="A30">
        <v>25</v>
      </c>
      <c r="B30">
        <v>189</v>
      </c>
      <c r="C30" s="17">
        <f t="shared" si="0"/>
        <v>199.98980151736666</v>
      </c>
      <c r="D30" s="17">
        <f t="shared" si="1"/>
        <v>1.8776074356372012</v>
      </c>
      <c r="E30" s="17">
        <f t="shared" si="2"/>
        <v>221.23761519024717</v>
      </c>
      <c r="F30" s="17">
        <f t="shared" si="3"/>
        <v>-32.237615190247169</v>
      </c>
      <c r="G30" s="17">
        <f t="shared" si="4"/>
        <v>1039.2638331544549</v>
      </c>
    </row>
    <row r="31" spans="1:7" x14ac:dyDescent="0.25">
      <c r="A31">
        <v>26</v>
      </c>
      <c r="B31">
        <v>218</v>
      </c>
      <c r="C31" s="17">
        <f t="shared" si="0"/>
        <v>212.50040046321507</v>
      </c>
      <c r="D31" s="17">
        <f t="shared" si="1"/>
        <v>2.4424019645251711</v>
      </c>
      <c r="E31" s="17">
        <f t="shared" si="2"/>
        <v>201.86740895300386</v>
      </c>
      <c r="F31" s="17">
        <f t="shared" si="3"/>
        <v>16.13259104699614</v>
      </c>
      <c r="G31" s="17">
        <f t="shared" si="4"/>
        <v>260.26049388962002</v>
      </c>
    </row>
    <row r="32" spans="1:7" x14ac:dyDescent="0.25">
      <c r="A32">
        <v>27</v>
      </c>
      <c r="B32">
        <v>185</v>
      </c>
      <c r="C32" s="17">
        <f t="shared" si="0"/>
        <v>195.20749995347489</v>
      </c>
      <c r="D32" s="17">
        <f t="shared" si="1"/>
        <v>1.3941183415475704</v>
      </c>
      <c r="E32" s="17">
        <f t="shared" si="2"/>
        <v>214.94280242774025</v>
      </c>
      <c r="F32" s="17">
        <f t="shared" si="3"/>
        <v>-29.942802427740247</v>
      </c>
      <c r="G32" s="17">
        <f t="shared" si="4"/>
        <v>896.57141722668723</v>
      </c>
    </row>
    <row r="33" spans="1:7" x14ac:dyDescent="0.25">
      <c r="A33">
        <v>28</v>
      </c>
      <c r="B33">
        <v>199</v>
      </c>
      <c r="C33" s="17">
        <f t="shared" si="0"/>
        <v>198.1823917884422</v>
      </c>
      <c r="D33" s="17">
        <f t="shared" si="1"/>
        <v>1.4780845724654823</v>
      </c>
      <c r="E33" s="17">
        <f t="shared" si="2"/>
        <v>196.60161829502246</v>
      </c>
      <c r="F33" s="17">
        <f t="shared" si="3"/>
        <v>2.3983817049775382</v>
      </c>
      <c r="G33" s="17">
        <f t="shared" si="4"/>
        <v>5.7522348027709631</v>
      </c>
    </row>
    <row r="34" spans="1:7" x14ac:dyDescent="0.25">
      <c r="A34">
        <v>29</v>
      </c>
      <c r="B34">
        <v>210</v>
      </c>
      <c r="C34" s="17">
        <f t="shared" si="0"/>
        <v>206.47525687284335</v>
      </c>
      <c r="D34" s="17">
        <f t="shared" si="1"/>
        <v>1.8400664987199453</v>
      </c>
      <c r="E34" s="17">
        <f t="shared" si="2"/>
        <v>199.66047636090769</v>
      </c>
      <c r="F34" s="17">
        <f t="shared" si="3"/>
        <v>10.339523639092306</v>
      </c>
      <c r="G34" s="17">
        <f t="shared" si="4"/>
        <v>106.9057490833486</v>
      </c>
    </row>
    <row r="35" spans="1:7" x14ac:dyDescent="0.25">
      <c r="A35">
        <v>30</v>
      </c>
      <c r="B35">
        <v>193</v>
      </c>
      <c r="C35" s="17">
        <f t="shared" si="0"/>
        <v>198.22099302428197</v>
      </c>
      <c r="D35" s="17">
        <f t="shared" si="1"/>
        <v>1.3038841320306451</v>
      </c>
      <c r="E35" s="17">
        <f t="shared" si="2"/>
        <v>208.3153233715633</v>
      </c>
      <c r="F35" s="17">
        <f t="shared" si="3"/>
        <v>-15.315323371563295</v>
      </c>
      <c r="G35" s="17">
        <f t="shared" si="4"/>
        <v>234.55912997555291</v>
      </c>
    </row>
    <row r="36" spans="1:7" x14ac:dyDescent="0.25">
      <c r="A36">
        <v>31</v>
      </c>
      <c r="B36">
        <v>211</v>
      </c>
      <c r="C36" s="17">
        <f t="shared" si="0"/>
        <v>207.08813115687056</v>
      </c>
      <c r="D36" s="17">
        <f t="shared" si="1"/>
        <v>1.7056228596505192</v>
      </c>
      <c r="E36" s="17">
        <f t="shared" si="2"/>
        <v>199.52487715631261</v>
      </c>
      <c r="F36" s="17">
        <f t="shared" si="3"/>
        <v>11.475122843687387</v>
      </c>
      <c r="G36" s="17">
        <f t="shared" si="4"/>
        <v>131.67844427771612</v>
      </c>
    </row>
    <row r="37" spans="1:7" x14ac:dyDescent="0.25">
      <c r="A37">
        <v>32</v>
      </c>
      <c r="B37">
        <v>208</v>
      </c>
      <c r="C37" s="17">
        <f t="shared" si="0"/>
        <v>208.27059070727472</v>
      </c>
      <c r="D37" s="17">
        <f t="shared" si="1"/>
        <v>1.6778338997427158</v>
      </c>
      <c r="E37" s="17">
        <f t="shared" si="2"/>
        <v>208.79375401652109</v>
      </c>
      <c r="F37" s="17">
        <f t="shared" si="3"/>
        <v>-0.7937540165210919</v>
      </c>
      <c r="G37" s="17">
        <f t="shared" si="4"/>
        <v>0.63004543874336583</v>
      </c>
    </row>
    <row r="38" spans="1:7" x14ac:dyDescent="0.25">
      <c r="A38">
        <v>33</v>
      </c>
      <c r="B38">
        <v>216</v>
      </c>
      <c r="C38" s="17">
        <f t="shared" si="0"/>
        <v>213.93701823029457</v>
      </c>
      <c r="D38" s="17">
        <f t="shared" si="1"/>
        <v>1.8896967470158463</v>
      </c>
      <c r="E38" s="17">
        <f t="shared" si="2"/>
        <v>209.94842460701744</v>
      </c>
      <c r="F38" s="17">
        <f t="shared" si="3"/>
        <v>6.0515753929825564</v>
      </c>
      <c r="G38" s="17">
        <f t="shared" si="4"/>
        <v>36.621564736951981</v>
      </c>
    </row>
    <row r="39" spans="1:7" x14ac:dyDescent="0.25">
      <c r="A39">
        <v>34</v>
      </c>
      <c r="B39">
        <v>218</v>
      </c>
      <c r="C39" s="17">
        <f t="shared" si="0"/>
        <v>217.25912723695362</v>
      </c>
      <c r="D39" s="17">
        <f t="shared" si="1"/>
        <v>1.9657824475058365</v>
      </c>
      <c r="E39" s="17">
        <f t="shared" si="2"/>
        <v>215.82671497731042</v>
      </c>
      <c r="F39" s="17">
        <f t="shared" si="3"/>
        <v>2.1732850226895835</v>
      </c>
      <c r="G39" s="17">
        <f t="shared" si="4"/>
        <v>4.7231677898468636</v>
      </c>
    </row>
    <row r="40" spans="1:7" x14ac:dyDescent="0.25">
      <c r="A40">
        <v>35</v>
      </c>
      <c r="B40">
        <v>264</v>
      </c>
      <c r="C40" s="17">
        <f t="shared" si="0"/>
        <v>248.73617379616772</v>
      </c>
      <c r="D40" s="17">
        <f t="shared" si="1"/>
        <v>3.5333375889591219</v>
      </c>
      <c r="E40" s="17">
        <f t="shared" si="2"/>
        <v>219.22490968445945</v>
      </c>
      <c r="F40" s="17">
        <f t="shared" si="3"/>
        <v>44.775090315540552</v>
      </c>
      <c r="G40" s="17">
        <f t="shared" si="4"/>
        <v>2004.8087127648134</v>
      </c>
    </row>
    <row r="41" spans="1:7" x14ac:dyDescent="0.25">
      <c r="A41">
        <v>36</v>
      </c>
      <c r="B41">
        <v>304</v>
      </c>
      <c r="C41" s="17">
        <f t="shared" si="0"/>
        <v>286.36507883976969</v>
      </c>
      <c r="D41" s="17">
        <f t="shared" si="1"/>
        <v>5.3443979983669436</v>
      </c>
      <c r="E41" s="17">
        <f t="shared" si="2"/>
        <v>252.26951138512683</v>
      </c>
      <c r="F41" s="17">
        <f t="shared" si="3"/>
        <v>51.730488614873167</v>
      </c>
      <c r="G41" s="17">
        <f t="shared" si="4"/>
        <v>2676.0434523335225</v>
      </c>
    </row>
    <row r="42" spans="1:7" x14ac:dyDescent="0.25">
      <c r="A42" s="4">
        <v>37</v>
      </c>
      <c r="B42" s="5">
        <f>C$41+(A42-A$41)*D$41</f>
        <v>291.70947683813665</v>
      </c>
      <c r="C42" s="20"/>
      <c r="D42" s="20"/>
      <c r="E42" s="20"/>
      <c r="F42" s="20"/>
      <c r="G42" s="20"/>
    </row>
    <row r="43" spans="1:7" x14ac:dyDescent="0.25">
      <c r="A43" s="4">
        <v>38</v>
      </c>
      <c r="B43" s="5">
        <f t="shared" ref="B43:B53" si="5">C$41+(A43-A$41)*D$41</f>
        <v>297.05387483650361</v>
      </c>
      <c r="C43" s="20"/>
      <c r="D43" s="20"/>
      <c r="E43" s="20"/>
      <c r="F43" s="20"/>
      <c r="G43" s="20"/>
    </row>
    <row r="44" spans="1:7" x14ac:dyDescent="0.25">
      <c r="A44" s="4">
        <v>39</v>
      </c>
      <c r="B44" s="5">
        <f t="shared" si="5"/>
        <v>302.39827283487051</v>
      </c>
      <c r="C44" s="20"/>
      <c r="D44" s="20"/>
      <c r="E44" s="20"/>
      <c r="F44" s="20"/>
      <c r="G44" s="20"/>
    </row>
    <row r="45" spans="1:7" x14ac:dyDescent="0.25">
      <c r="A45" s="4">
        <v>40</v>
      </c>
      <c r="B45" s="5">
        <f t="shared" si="5"/>
        <v>307.74267083323747</v>
      </c>
      <c r="C45" s="20"/>
      <c r="D45" s="20"/>
      <c r="E45" s="20"/>
      <c r="F45" s="20"/>
      <c r="G45" s="20"/>
    </row>
    <row r="46" spans="1:7" x14ac:dyDescent="0.25">
      <c r="A46" s="4">
        <v>41</v>
      </c>
      <c r="B46" s="5">
        <f t="shared" si="5"/>
        <v>313.08706883160443</v>
      </c>
      <c r="C46" s="20"/>
      <c r="D46" s="20"/>
      <c r="E46" s="20"/>
      <c r="F46" s="20"/>
      <c r="G46" s="20"/>
    </row>
    <row r="47" spans="1:7" x14ac:dyDescent="0.25">
      <c r="A47" s="4">
        <v>42</v>
      </c>
      <c r="B47" s="5">
        <f t="shared" si="5"/>
        <v>318.43146682997133</v>
      </c>
      <c r="C47" s="20"/>
      <c r="D47" s="20"/>
      <c r="E47" s="20"/>
      <c r="F47" s="20"/>
      <c r="G47" s="20"/>
    </row>
    <row r="48" spans="1:7" x14ac:dyDescent="0.25">
      <c r="A48" s="4">
        <v>43</v>
      </c>
      <c r="B48" s="5">
        <f t="shared" si="5"/>
        <v>323.77586482833829</v>
      </c>
      <c r="C48" s="20"/>
      <c r="D48" s="20"/>
      <c r="E48" s="20"/>
      <c r="F48" s="20"/>
      <c r="G48" s="20"/>
    </row>
    <row r="49" spans="1:7" x14ac:dyDescent="0.25">
      <c r="A49" s="4">
        <v>44</v>
      </c>
      <c r="B49" s="5">
        <f t="shared" si="5"/>
        <v>329.12026282670524</v>
      </c>
      <c r="C49" s="20"/>
      <c r="D49" s="20"/>
      <c r="E49" s="20"/>
      <c r="F49" s="20"/>
      <c r="G49" s="20"/>
    </row>
    <row r="50" spans="1:7" x14ac:dyDescent="0.25">
      <c r="A50" s="4">
        <v>45</v>
      </c>
      <c r="B50" s="5">
        <f t="shared" si="5"/>
        <v>334.4646608250722</v>
      </c>
      <c r="C50" s="20"/>
      <c r="D50" s="20"/>
      <c r="E50" s="20"/>
      <c r="F50" s="20"/>
      <c r="G50" s="20"/>
    </row>
    <row r="51" spans="1:7" x14ac:dyDescent="0.25">
      <c r="A51" s="4">
        <v>46</v>
      </c>
      <c r="B51" s="5">
        <f t="shared" si="5"/>
        <v>339.80905882343916</v>
      </c>
      <c r="C51" s="20"/>
      <c r="D51" s="20"/>
      <c r="E51" s="20"/>
      <c r="F51" s="20"/>
      <c r="G51" s="20"/>
    </row>
    <row r="52" spans="1:7" x14ac:dyDescent="0.25">
      <c r="A52" s="4">
        <v>47</v>
      </c>
      <c r="B52" s="5">
        <f t="shared" si="5"/>
        <v>345.15345682180606</v>
      </c>
      <c r="C52" s="20"/>
      <c r="D52" s="20"/>
      <c r="E52" s="20"/>
      <c r="F52" s="20"/>
      <c r="G52" s="20"/>
    </row>
    <row r="53" spans="1:7" x14ac:dyDescent="0.25">
      <c r="A53" s="4">
        <v>48</v>
      </c>
      <c r="B53" s="5">
        <f t="shared" si="5"/>
        <v>350.49785482017302</v>
      </c>
      <c r="C53" s="20"/>
      <c r="D53" s="20"/>
      <c r="E53" s="20"/>
      <c r="F53" s="20"/>
      <c r="G53" s="20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7"/>
    <col min="5" max="15" width="10.875" style="16"/>
  </cols>
  <sheetData>
    <row r="1" spans="1:15" x14ac:dyDescent="0.25">
      <c r="A1" t="s">
        <v>1</v>
      </c>
      <c r="B1" t="s">
        <v>25</v>
      </c>
      <c r="C1" t="s">
        <v>10</v>
      </c>
      <c r="D1" s="17">
        <v>1</v>
      </c>
      <c r="E1" s="17">
        <v>2</v>
      </c>
      <c r="F1" s="17">
        <v>3</v>
      </c>
      <c r="G1" s="17">
        <v>4</v>
      </c>
      <c r="H1" s="17">
        <v>5</v>
      </c>
      <c r="I1" s="17">
        <v>6</v>
      </c>
      <c r="J1" s="17">
        <v>7</v>
      </c>
      <c r="K1" s="17">
        <v>8</v>
      </c>
      <c r="L1" s="17">
        <v>9</v>
      </c>
      <c r="M1" s="17">
        <v>10</v>
      </c>
      <c r="N1" s="17">
        <v>11</v>
      </c>
      <c r="O1" s="17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7">
        <f>C2</f>
        <v>4.7066939584545793</v>
      </c>
      <c r="E3" s="17">
        <f t="shared" ref="E3:O18" si="1">D2</f>
        <v>0</v>
      </c>
      <c r="F3" s="17">
        <f t="shared" si="1"/>
        <v>0</v>
      </c>
      <c r="G3" s="17">
        <f t="shared" si="1"/>
        <v>0</v>
      </c>
      <c r="H3" s="17">
        <f t="shared" si="1"/>
        <v>0</v>
      </c>
      <c r="I3" s="17">
        <f t="shared" si="1"/>
        <v>0</v>
      </c>
      <c r="J3" s="17">
        <f t="shared" si="1"/>
        <v>0</v>
      </c>
      <c r="K3" s="17">
        <f t="shared" si="1"/>
        <v>0</v>
      </c>
      <c r="L3" s="17">
        <f t="shared" si="1"/>
        <v>0</v>
      </c>
      <c r="M3" s="17">
        <f t="shared" si="1"/>
        <v>0</v>
      </c>
      <c r="N3" s="17">
        <f t="shared" si="1"/>
        <v>0</v>
      </c>
      <c r="O3" s="17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7">
        <f t="shared" ref="D4:D37" si="2">C3</f>
        <v>4.1204160777565306</v>
      </c>
      <c r="E4" s="17">
        <f t="shared" si="1"/>
        <v>4.7066939584545793</v>
      </c>
      <c r="F4" s="17">
        <f t="shared" si="1"/>
        <v>0</v>
      </c>
      <c r="G4" s="17">
        <f t="shared" si="1"/>
        <v>0</v>
      </c>
      <c r="H4" s="17">
        <f t="shared" si="1"/>
        <v>0</v>
      </c>
      <c r="I4" s="17">
        <f t="shared" si="1"/>
        <v>0</v>
      </c>
      <c r="J4" s="17">
        <f t="shared" si="1"/>
        <v>0</v>
      </c>
      <c r="K4" s="17">
        <f t="shared" si="1"/>
        <v>0</v>
      </c>
      <c r="L4" s="17">
        <f t="shared" si="1"/>
        <v>0</v>
      </c>
      <c r="M4" s="17">
        <f t="shared" si="1"/>
        <v>0</v>
      </c>
      <c r="N4" s="17">
        <f t="shared" si="1"/>
        <v>0</v>
      </c>
      <c r="O4" s="17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7">
        <f t="shared" si="2"/>
        <v>-26.348907669762653</v>
      </c>
      <c r="E5" s="17">
        <f t="shared" si="1"/>
        <v>4.1204160777565306</v>
      </c>
      <c r="F5" s="17">
        <f t="shared" si="1"/>
        <v>4.7066939584545793</v>
      </c>
      <c r="G5" s="17">
        <f t="shared" si="1"/>
        <v>0</v>
      </c>
      <c r="H5" s="17">
        <f t="shared" si="1"/>
        <v>0</v>
      </c>
      <c r="I5" s="17">
        <f t="shared" si="1"/>
        <v>0</v>
      </c>
      <c r="J5" s="17">
        <f t="shared" si="1"/>
        <v>0</v>
      </c>
      <c r="K5" s="17">
        <f t="shared" si="1"/>
        <v>0</v>
      </c>
      <c r="L5" s="17">
        <f t="shared" si="1"/>
        <v>0</v>
      </c>
      <c r="M5" s="17">
        <f t="shared" si="1"/>
        <v>0</v>
      </c>
      <c r="N5" s="17">
        <f t="shared" si="1"/>
        <v>0</v>
      </c>
      <c r="O5" s="17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7">
        <f t="shared" si="2"/>
        <v>-15.938647857184222</v>
      </c>
      <c r="E6" s="17">
        <f t="shared" si="1"/>
        <v>-26.348907669762653</v>
      </c>
      <c r="F6" s="17">
        <f t="shared" si="1"/>
        <v>4.1204160777565306</v>
      </c>
      <c r="G6" s="17">
        <f t="shared" si="1"/>
        <v>4.7066939584545793</v>
      </c>
      <c r="H6" s="17">
        <f t="shared" si="1"/>
        <v>0</v>
      </c>
      <c r="I6" s="17">
        <f t="shared" si="1"/>
        <v>0</v>
      </c>
      <c r="J6" s="17">
        <f t="shared" si="1"/>
        <v>0</v>
      </c>
      <c r="K6" s="17">
        <f t="shared" si="1"/>
        <v>0</v>
      </c>
      <c r="L6" s="17">
        <f t="shared" si="1"/>
        <v>0</v>
      </c>
      <c r="M6" s="17">
        <f t="shared" si="1"/>
        <v>0</v>
      </c>
      <c r="N6" s="17">
        <f t="shared" si="1"/>
        <v>0</v>
      </c>
      <c r="O6" s="17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7">
        <f t="shared" si="2"/>
        <v>13.043005410004056</v>
      </c>
      <c r="E7" s="17">
        <f t="shared" si="1"/>
        <v>-15.938647857184222</v>
      </c>
      <c r="F7" s="17">
        <f t="shared" si="1"/>
        <v>-26.348907669762653</v>
      </c>
      <c r="G7" s="17">
        <f t="shared" si="1"/>
        <v>4.1204160777565306</v>
      </c>
      <c r="H7" s="17">
        <f t="shared" si="1"/>
        <v>4.7066939584545793</v>
      </c>
      <c r="I7" s="17">
        <f t="shared" si="1"/>
        <v>0</v>
      </c>
      <c r="J7" s="17">
        <f t="shared" si="1"/>
        <v>0</v>
      </c>
      <c r="K7" s="17">
        <f t="shared" si="1"/>
        <v>0</v>
      </c>
      <c r="L7" s="17">
        <f t="shared" si="1"/>
        <v>0</v>
      </c>
      <c r="M7" s="17">
        <f t="shared" si="1"/>
        <v>0</v>
      </c>
      <c r="N7" s="17">
        <f t="shared" si="1"/>
        <v>0</v>
      </c>
      <c r="O7" s="17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7">
        <f t="shared" si="2"/>
        <v>-2.6589849280832283</v>
      </c>
      <c r="E8" s="17">
        <f t="shared" si="1"/>
        <v>13.043005410004056</v>
      </c>
      <c r="F8" s="17">
        <f t="shared" si="1"/>
        <v>-15.938647857184222</v>
      </c>
      <c r="G8" s="17">
        <f t="shared" si="1"/>
        <v>-26.348907669762653</v>
      </c>
      <c r="H8" s="17">
        <f t="shared" si="1"/>
        <v>4.1204160777565306</v>
      </c>
      <c r="I8" s="17">
        <f t="shared" si="1"/>
        <v>4.7066939584545793</v>
      </c>
      <c r="J8" s="17">
        <f t="shared" si="1"/>
        <v>0</v>
      </c>
      <c r="K8" s="17">
        <f t="shared" si="1"/>
        <v>0</v>
      </c>
      <c r="L8" s="17">
        <f t="shared" si="1"/>
        <v>0</v>
      </c>
      <c r="M8" s="17">
        <f t="shared" si="1"/>
        <v>0</v>
      </c>
      <c r="N8" s="17">
        <f t="shared" si="1"/>
        <v>0</v>
      </c>
      <c r="O8" s="17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7">
        <f t="shared" si="2"/>
        <v>-12.043912244752832</v>
      </c>
      <c r="E9" s="17">
        <f t="shared" si="1"/>
        <v>-2.6589849280832283</v>
      </c>
      <c r="F9" s="17">
        <f t="shared" si="1"/>
        <v>13.043005410004056</v>
      </c>
      <c r="G9" s="17">
        <f t="shared" si="1"/>
        <v>-15.938647857184222</v>
      </c>
      <c r="H9" s="17">
        <f t="shared" si="1"/>
        <v>-26.348907669762653</v>
      </c>
      <c r="I9" s="17">
        <f t="shared" si="1"/>
        <v>4.1204160777565306</v>
      </c>
      <c r="J9" s="17">
        <f t="shared" si="1"/>
        <v>4.7066939584545793</v>
      </c>
      <c r="K9" s="17">
        <f t="shared" si="1"/>
        <v>0</v>
      </c>
      <c r="L9" s="17">
        <f t="shared" si="1"/>
        <v>0</v>
      </c>
      <c r="M9" s="17">
        <f t="shared" si="1"/>
        <v>0</v>
      </c>
      <c r="N9" s="17">
        <f t="shared" si="1"/>
        <v>0</v>
      </c>
      <c r="O9" s="17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7">
        <f t="shared" si="2"/>
        <v>-8.9467913617056212</v>
      </c>
      <c r="E10" s="17">
        <f t="shared" si="1"/>
        <v>-12.043912244752832</v>
      </c>
      <c r="F10" s="17">
        <f t="shared" si="1"/>
        <v>-2.6589849280832283</v>
      </c>
      <c r="G10" s="17">
        <f t="shared" si="1"/>
        <v>13.043005410004056</v>
      </c>
      <c r="H10" s="17">
        <f t="shared" si="1"/>
        <v>-15.938647857184222</v>
      </c>
      <c r="I10" s="17">
        <f t="shared" si="1"/>
        <v>-26.348907669762653</v>
      </c>
      <c r="J10" s="17">
        <f t="shared" si="1"/>
        <v>4.1204160777565306</v>
      </c>
      <c r="K10" s="17">
        <f t="shared" si="1"/>
        <v>4.7066939584545793</v>
      </c>
      <c r="L10" s="17">
        <f t="shared" si="1"/>
        <v>0</v>
      </c>
      <c r="M10" s="17">
        <f t="shared" si="1"/>
        <v>0</v>
      </c>
      <c r="N10" s="17">
        <f t="shared" si="1"/>
        <v>0</v>
      </c>
      <c r="O10" s="17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7">
        <f t="shared" si="2"/>
        <v>3.2970315264813763</v>
      </c>
      <c r="E11" s="17">
        <f t="shared" si="1"/>
        <v>-8.9467913617056212</v>
      </c>
      <c r="F11" s="17">
        <f t="shared" si="1"/>
        <v>-12.043912244752832</v>
      </c>
      <c r="G11" s="17">
        <f t="shared" si="1"/>
        <v>-2.6589849280832283</v>
      </c>
      <c r="H11" s="17">
        <f t="shared" si="1"/>
        <v>13.043005410004056</v>
      </c>
      <c r="I11" s="17">
        <f t="shared" si="1"/>
        <v>-15.938647857184222</v>
      </c>
      <c r="J11" s="17">
        <f t="shared" si="1"/>
        <v>-26.348907669762653</v>
      </c>
      <c r="K11" s="17">
        <f t="shared" si="1"/>
        <v>4.1204160777565306</v>
      </c>
      <c r="L11" s="17">
        <f t="shared" si="1"/>
        <v>4.7066939584545793</v>
      </c>
      <c r="M11" s="17">
        <f t="shared" si="1"/>
        <v>0</v>
      </c>
      <c r="N11" s="17">
        <f t="shared" si="1"/>
        <v>0</v>
      </c>
      <c r="O11" s="17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7">
        <f t="shared" si="2"/>
        <v>8.2303157005801921</v>
      </c>
      <c r="E12" s="17">
        <f t="shared" si="1"/>
        <v>3.2970315264813763</v>
      </c>
      <c r="F12" s="17">
        <f t="shared" si="1"/>
        <v>-8.9467913617056212</v>
      </c>
      <c r="G12" s="17">
        <f t="shared" si="1"/>
        <v>-12.043912244752832</v>
      </c>
      <c r="H12" s="17">
        <f t="shared" si="1"/>
        <v>-2.6589849280832283</v>
      </c>
      <c r="I12" s="17">
        <f t="shared" si="1"/>
        <v>13.043005410004056</v>
      </c>
      <c r="J12" s="17">
        <f t="shared" si="1"/>
        <v>-15.938647857184222</v>
      </c>
      <c r="K12" s="17">
        <f t="shared" si="1"/>
        <v>-26.348907669762653</v>
      </c>
      <c r="L12" s="17">
        <f t="shared" si="1"/>
        <v>4.1204160777565306</v>
      </c>
      <c r="M12" s="17">
        <f t="shared" si="1"/>
        <v>4.7066939584545793</v>
      </c>
      <c r="N12" s="17">
        <f t="shared" si="1"/>
        <v>0</v>
      </c>
      <c r="O12" s="17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7">
        <f t="shared" si="2"/>
        <v>3.4987254191544963</v>
      </c>
      <c r="E13" s="17">
        <f t="shared" si="1"/>
        <v>8.2303157005801921</v>
      </c>
      <c r="F13" s="17">
        <f t="shared" si="1"/>
        <v>3.2970315264813763</v>
      </c>
      <c r="G13" s="17">
        <f t="shared" si="1"/>
        <v>-8.9467913617056212</v>
      </c>
      <c r="H13" s="17">
        <f t="shared" si="1"/>
        <v>-12.043912244752832</v>
      </c>
      <c r="I13" s="17">
        <f t="shared" si="1"/>
        <v>-2.6589849280832283</v>
      </c>
      <c r="J13" s="17">
        <f t="shared" si="1"/>
        <v>13.043005410004056</v>
      </c>
      <c r="K13" s="17">
        <f t="shared" si="1"/>
        <v>-15.938647857184222</v>
      </c>
      <c r="L13" s="17">
        <f t="shared" si="1"/>
        <v>-26.348907669762653</v>
      </c>
      <c r="M13" s="17">
        <f t="shared" si="1"/>
        <v>4.1204160777565306</v>
      </c>
      <c r="N13" s="17">
        <f t="shared" si="1"/>
        <v>4.7066939584545793</v>
      </c>
      <c r="O13" s="17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7">
        <f t="shared" si="2"/>
        <v>27.638029626756108</v>
      </c>
      <c r="E14" s="17">
        <f t="shared" si="1"/>
        <v>3.4987254191544963</v>
      </c>
      <c r="F14" s="17">
        <f t="shared" si="1"/>
        <v>8.2303157005801921</v>
      </c>
      <c r="G14" s="17">
        <f t="shared" si="1"/>
        <v>3.2970315264813763</v>
      </c>
      <c r="H14" s="17">
        <f t="shared" si="1"/>
        <v>-8.9467913617056212</v>
      </c>
      <c r="I14" s="17">
        <f t="shared" si="1"/>
        <v>-12.043912244752832</v>
      </c>
      <c r="J14" s="17">
        <f t="shared" si="1"/>
        <v>-2.6589849280832283</v>
      </c>
      <c r="K14" s="17">
        <f t="shared" si="1"/>
        <v>13.043005410004056</v>
      </c>
      <c r="L14" s="17">
        <f t="shared" si="1"/>
        <v>-15.938647857184222</v>
      </c>
      <c r="M14" s="17">
        <f t="shared" si="1"/>
        <v>-26.348907669762653</v>
      </c>
      <c r="N14" s="17">
        <f t="shared" si="1"/>
        <v>4.1204160777565306</v>
      </c>
      <c r="O14" s="17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7">
        <f t="shared" si="2"/>
        <v>-29.22568157550252</v>
      </c>
      <c r="E15" s="17">
        <f t="shared" si="1"/>
        <v>27.638029626756108</v>
      </c>
      <c r="F15" s="17">
        <f t="shared" si="1"/>
        <v>3.4987254191544963</v>
      </c>
      <c r="G15" s="17">
        <f t="shared" si="1"/>
        <v>8.2303157005801921</v>
      </c>
      <c r="H15" s="17">
        <f t="shared" si="1"/>
        <v>3.2970315264813763</v>
      </c>
      <c r="I15" s="17">
        <f t="shared" si="1"/>
        <v>-8.9467913617056212</v>
      </c>
      <c r="J15" s="17">
        <f t="shared" si="1"/>
        <v>-12.043912244752832</v>
      </c>
      <c r="K15" s="17">
        <f t="shared" si="1"/>
        <v>-2.6589849280832283</v>
      </c>
      <c r="L15" s="17">
        <f t="shared" si="1"/>
        <v>13.043005410004056</v>
      </c>
      <c r="M15" s="17">
        <f t="shared" si="1"/>
        <v>-15.938647857184222</v>
      </c>
      <c r="N15" s="17">
        <f t="shared" si="1"/>
        <v>-26.348907669762653</v>
      </c>
      <c r="O15" s="17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7">
        <f t="shared" si="2"/>
        <v>-16.712554795347089</v>
      </c>
      <c r="E16" s="17">
        <f t="shared" si="1"/>
        <v>-29.22568157550252</v>
      </c>
      <c r="F16" s="17">
        <f t="shared" si="1"/>
        <v>27.638029626756108</v>
      </c>
      <c r="G16" s="17">
        <f t="shared" si="1"/>
        <v>3.4987254191544963</v>
      </c>
      <c r="H16" s="17">
        <f t="shared" si="1"/>
        <v>8.2303157005801921</v>
      </c>
      <c r="I16" s="17">
        <f t="shared" si="1"/>
        <v>3.2970315264813763</v>
      </c>
      <c r="J16" s="17">
        <f t="shared" si="1"/>
        <v>-8.9467913617056212</v>
      </c>
      <c r="K16" s="17">
        <f t="shared" si="1"/>
        <v>-12.043912244752832</v>
      </c>
      <c r="L16" s="17">
        <f t="shared" si="1"/>
        <v>-2.6589849280832283</v>
      </c>
      <c r="M16" s="17">
        <f t="shared" si="1"/>
        <v>13.043005410004056</v>
      </c>
      <c r="N16" s="17">
        <f t="shared" si="1"/>
        <v>-15.938647857184222</v>
      </c>
      <c r="O16" s="17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7">
        <f t="shared" si="2"/>
        <v>-12.986940060869827</v>
      </c>
      <c r="E17" s="17">
        <f t="shared" si="1"/>
        <v>-16.712554795347089</v>
      </c>
      <c r="F17" s="17">
        <f t="shared" si="1"/>
        <v>-29.22568157550252</v>
      </c>
      <c r="G17" s="17">
        <f t="shared" si="1"/>
        <v>27.638029626756108</v>
      </c>
      <c r="H17" s="17">
        <f t="shared" si="1"/>
        <v>3.4987254191544963</v>
      </c>
      <c r="I17" s="17">
        <f t="shared" si="1"/>
        <v>8.2303157005801921</v>
      </c>
      <c r="J17" s="17">
        <f t="shared" si="1"/>
        <v>3.2970315264813763</v>
      </c>
      <c r="K17" s="17">
        <f t="shared" si="1"/>
        <v>-8.9467913617056212</v>
      </c>
      <c r="L17" s="17">
        <f t="shared" si="1"/>
        <v>-12.043912244752832</v>
      </c>
      <c r="M17" s="17">
        <f t="shared" si="1"/>
        <v>-2.6589849280832283</v>
      </c>
      <c r="N17" s="17">
        <f t="shared" si="1"/>
        <v>13.043005410004056</v>
      </c>
      <c r="O17" s="17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7">
        <f t="shared" si="2"/>
        <v>-22.387420169742157</v>
      </c>
      <c r="E18" s="17">
        <f t="shared" si="1"/>
        <v>-12.986940060869827</v>
      </c>
      <c r="F18" s="17">
        <f t="shared" si="1"/>
        <v>-16.712554795347089</v>
      </c>
      <c r="G18" s="17">
        <f t="shared" si="1"/>
        <v>-29.22568157550252</v>
      </c>
      <c r="H18" s="17">
        <f t="shared" si="1"/>
        <v>27.638029626756108</v>
      </c>
      <c r="I18" s="17">
        <f t="shared" si="1"/>
        <v>3.4987254191544963</v>
      </c>
      <c r="J18" s="17">
        <f t="shared" si="1"/>
        <v>8.2303157005801921</v>
      </c>
      <c r="K18" s="17">
        <f t="shared" si="1"/>
        <v>3.2970315264813763</v>
      </c>
      <c r="L18" s="17">
        <f t="shared" si="1"/>
        <v>-8.9467913617056212</v>
      </c>
      <c r="M18" s="17">
        <f t="shared" si="1"/>
        <v>-12.043912244752832</v>
      </c>
      <c r="N18" s="17">
        <f t="shared" si="1"/>
        <v>-2.6589849280832283</v>
      </c>
      <c r="O18" s="17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7">
        <f t="shared" si="2"/>
        <v>31.066519416255417</v>
      </c>
      <c r="E19" s="17">
        <f t="shared" ref="E19:O34" si="3">D18</f>
        <v>-22.387420169742157</v>
      </c>
      <c r="F19" s="17">
        <f t="shared" si="3"/>
        <v>-12.986940060869827</v>
      </c>
      <c r="G19" s="17">
        <f t="shared" si="3"/>
        <v>-16.712554795347089</v>
      </c>
      <c r="H19" s="17">
        <f t="shared" si="3"/>
        <v>-29.22568157550252</v>
      </c>
      <c r="I19" s="17">
        <f t="shared" si="3"/>
        <v>27.638029626756108</v>
      </c>
      <c r="J19" s="17">
        <f t="shared" si="3"/>
        <v>3.4987254191544963</v>
      </c>
      <c r="K19" s="17">
        <f t="shared" si="3"/>
        <v>8.2303157005801921</v>
      </c>
      <c r="L19" s="17">
        <f t="shared" si="3"/>
        <v>3.2970315264813763</v>
      </c>
      <c r="M19" s="17">
        <f t="shared" si="3"/>
        <v>-8.9467913617056212</v>
      </c>
      <c r="N19" s="17">
        <f t="shared" si="3"/>
        <v>-12.043912244752832</v>
      </c>
      <c r="O19" s="17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7">
        <f t="shared" si="2"/>
        <v>-19.923861440169347</v>
      </c>
      <c r="E20" s="17">
        <f t="shared" si="3"/>
        <v>31.066519416255417</v>
      </c>
      <c r="F20" s="17">
        <f t="shared" si="3"/>
        <v>-22.387420169742157</v>
      </c>
      <c r="G20" s="17">
        <f t="shared" si="3"/>
        <v>-12.986940060869827</v>
      </c>
      <c r="H20" s="17">
        <f t="shared" si="3"/>
        <v>-16.712554795347089</v>
      </c>
      <c r="I20" s="17">
        <f t="shared" si="3"/>
        <v>-29.22568157550252</v>
      </c>
      <c r="J20" s="17">
        <f t="shared" si="3"/>
        <v>27.638029626756108</v>
      </c>
      <c r="K20" s="17">
        <f t="shared" si="3"/>
        <v>3.4987254191544963</v>
      </c>
      <c r="L20" s="17">
        <f t="shared" si="3"/>
        <v>8.2303157005801921</v>
      </c>
      <c r="M20" s="17">
        <f t="shared" si="3"/>
        <v>3.2970315264813763</v>
      </c>
      <c r="N20" s="17">
        <f t="shared" si="3"/>
        <v>-8.9467913617056212</v>
      </c>
      <c r="O20" s="17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7">
        <f t="shared" si="2"/>
        <v>-8.7341679198770947</v>
      </c>
      <c r="E21" s="17">
        <f t="shared" si="3"/>
        <v>-19.923861440169347</v>
      </c>
      <c r="F21" s="17">
        <f t="shared" si="3"/>
        <v>31.066519416255417</v>
      </c>
      <c r="G21" s="17">
        <f t="shared" si="3"/>
        <v>-22.387420169742157</v>
      </c>
      <c r="H21" s="17">
        <f t="shared" si="3"/>
        <v>-12.986940060869827</v>
      </c>
      <c r="I21" s="17">
        <f t="shared" si="3"/>
        <v>-16.712554795347089</v>
      </c>
      <c r="J21" s="17">
        <f t="shared" si="3"/>
        <v>-29.22568157550252</v>
      </c>
      <c r="K21" s="17">
        <f t="shared" si="3"/>
        <v>27.638029626756108</v>
      </c>
      <c r="L21" s="17">
        <f t="shared" si="3"/>
        <v>3.4987254191544963</v>
      </c>
      <c r="M21" s="17">
        <f t="shared" si="3"/>
        <v>8.2303157005801921</v>
      </c>
      <c r="N21" s="17">
        <f t="shared" si="3"/>
        <v>3.2970315264813763</v>
      </c>
      <c r="O21" s="17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7">
        <f t="shared" si="2"/>
        <v>1.2609693492861567</v>
      </c>
      <c r="E22" s="17">
        <f t="shared" si="3"/>
        <v>-8.7341679198770947</v>
      </c>
      <c r="F22" s="17">
        <f t="shared" si="3"/>
        <v>-19.923861440169347</v>
      </c>
      <c r="G22" s="17">
        <f t="shared" si="3"/>
        <v>31.066519416255417</v>
      </c>
      <c r="H22" s="17">
        <f t="shared" si="3"/>
        <v>-22.387420169742157</v>
      </c>
      <c r="I22" s="17">
        <f t="shared" si="3"/>
        <v>-12.986940060869827</v>
      </c>
      <c r="J22" s="17">
        <f t="shared" si="3"/>
        <v>-16.712554795347089</v>
      </c>
      <c r="K22" s="17">
        <f t="shared" si="3"/>
        <v>-29.22568157550252</v>
      </c>
      <c r="L22" s="17">
        <f t="shared" si="3"/>
        <v>27.638029626756108</v>
      </c>
      <c r="M22" s="17">
        <f t="shared" si="3"/>
        <v>3.4987254191544963</v>
      </c>
      <c r="N22" s="17">
        <f t="shared" si="3"/>
        <v>8.2303157005801921</v>
      </c>
      <c r="O22" s="17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7">
        <f t="shared" si="2"/>
        <v>13.498957981849387</v>
      </c>
      <c r="E23" s="17">
        <f t="shared" si="3"/>
        <v>1.2609693492861567</v>
      </c>
      <c r="F23" s="17">
        <f t="shared" si="3"/>
        <v>-8.7341679198770947</v>
      </c>
      <c r="G23" s="17">
        <f t="shared" si="3"/>
        <v>-19.923861440169347</v>
      </c>
      <c r="H23" s="17">
        <f t="shared" si="3"/>
        <v>31.066519416255417</v>
      </c>
      <c r="I23" s="17">
        <f t="shared" si="3"/>
        <v>-22.387420169742157</v>
      </c>
      <c r="J23" s="17">
        <f t="shared" si="3"/>
        <v>-12.986940060869827</v>
      </c>
      <c r="K23" s="17">
        <f t="shared" si="3"/>
        <v>-16.712554795347089</v>
      </c>
      <c r="L23" s="17">
        <f t="shared" si="3"/>
        <v>-29.22568157550252</v>
      </c>
      <c r="M23" s="17">
        <f t="shared" si="3"/>
        <v>27.638029626756108</v>
      </c>
      <c r="N23" s="17">
        <f t="shared" si="3"/>
        <v>3.4987254191544963</v>
      </c>
      <c r="O23" s="17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7">
        <f t="shared" si="2"/>
        <v>4.0730892989773935</v>
      </c>
      <c r="E24" s="17">
        <f t="shared" si="3"/>
        <v>13.498957981849387</v>
      </c>
      <c r="F24" s="17">
        <f t="shared" si="3"/>
        <v>1.2609693492861567</v>
      </c>
      <c r="G24" s="17">
        <f t="shared" si="3"/>
        <v>-8.7341679198770947</v>
      </c>
      <c r="H24" s="17">
        <f t="shared" si="3"/>
        <v>-19.923861440169347</v>
      </c>
      <c r="I24" s="17">
        <f t="shared" si="3"/>
        <v>31.066519416255417</v>
      </c>
      <c r="J24" s="17">
        <f t="shared" si="3"/>
        <v>-22.387420169742157</v>
      </c>
      <c r="K24" s="17">
        <f t="shared" si="3"/>
        <v>-12.986940060869827</v>
      </c>
      <c r="L24" s="17">
        <f t="shared" si="3"/>
        <v>-16.712554795347089</v>
      </c>
      <c r="M24" s="17">
        <f t="shared" si="3"/>
        <v>-29.22568157550252</v>
      </c>
      <c r="N24" s="17">
        <f t="shared" si="3"/>
        <v>27.638029626756108</v>
      </c>
      <c r="O24" s="17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7">
        <f t="shared" si="2"/>
        <v>9.5920057121914937</v>
      </c>
      <c r="E25" s="17">
        <f t="shared" si="3"/>
        <v>4.0730892989773935</v>
      </c>
      <c r="F25" s="17">
        <f t="shared" si="3"/>
        <v>13.498957981849387</v>
      </c>
      <c r="G25" s="17">
        <f t="shared" si="3"/>
        <v>1.2609693492861567</v>
      </c>
      <c r="H25" s="17">
        <f t="shared" si="3"/>
        <v>-8.7341679198770947</v>
      </c>
      <c r="I25" s="17">
        <f t="shared" si="3"/>
        <v>-19.923861440169347</v>
      </c>
      <c r="J25" s="17">
        <f t="shared" si="3"/>
        <v>31.066519416255417</v>
      </c>
      <c r="K25" s="17">
        <f t="shared" si="3"/>
        <v>-22.387420169742157</v>
      </c>
      <c r="L25" s="17">
        <f t="shared" si="3"/>
        <v>-12.986940060869827</v>
      </c>
      <c r="M25" s="17">
        <f t="shared" si="3"/>
        <v>-16.712554795347089</v>
      </c>
      <c r="N25" s="17">
        <f t="shared" si="3"/>
        <v>-29.22568157550252</v>
      </c>
      <c r="O25" s="17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7">
        <f t="shared" si="2"/>
        <v>28.012385440594173</v>
      </c>
      <c r="E26" s="17">
        <f t="shared" si="3"/>
        <v>9.5920057121914937</v>
      </c>
      <c r="F26" s="17">
        <f t="shared" si="3"/>
        <v>4.0730892989773935</v>
      </c>
      <c r="G26" s="17">
        <f t="shared" si="3"/>
        <v>13.498957981849387</v>
      </c>
      <c r="H26" s="17">
        <f t="shared" si="3"/>
        <v>1.2609693492861567</v>
      </c>
      <c r="I26" s="17">
        <f t="shared" si="3"/>
        <v>-8.7341679198770947</v>
      </c>
      <c r="J26" s="17">
        <f t="shared" si="3"/>
        <v>-19.923861440169347</v>
      </c>
      <c r="K26" s="17">
        <f t="shared" si="3"/>
        <v>31.066519416255417</v>
      </c>
      <c r="L26" s="17">
        <f t="shared" si="3"/>
        <v>-22.387420169742157</v>
      </c>
      <c r="M26" s="17">
        <f t="shared" si="3"/>
        <v>-12.986940060869827</v>
      </c>
      <c r="N26" s="17">
        <f t="shared" si="3"/>
        <v>-16.712554795347089</v>
      </c>
      <c r="O26" s="17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7">
        <f t="shared" si="2"/>
        <v>-35.814013254610288</v>
      </c>
      <c r="E27" s="17">
        <f t="shared" si="3"/>
        <v>28.012385440594173</v>
      </c>
      <c r="F27" s="17">
        <f t="shared" si="3"/>
        <v>9.5920057121914937</v>
      </c>
      <c r="G27" s="17">
        <f t="shared" si="3"/>
        <v>4.0730892989773935</v>
      </c>
      <c r="H27" s="17">
        <f t="shared" si="3"/>
        <v>13.498957981849387</v>
      </c>
      <c r="I27" s="17">
        <f t="shared" si="3"/>
        <v>1.2609693492861567</v>
      </c>
      <c r="J27" s="17">
        <f t="shared" si="3"/>
        <v>-8.7341679198770947</v>
      </c>
      <c r="K27" s="17">
        <f t="shared" si="3"/>
        <v>-19.923861440169347</v>
      </c>
      <c r="L27" s="17">
        <f t="shared" si="3"/>
        <v>31.066519416255417</v>
      </c>
      <c r="M27" s="17">
        <f t="shared" si="3"/>
        <v>-22.387420169742157</v>
      </c>
      <c r="N27" s="17">
        <f t="shared" si="3"/>
        <v>-12.986940060869827</v>
      </c>
      <c r="O27" s="17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7">
        <f t="shared" si="2"/>
        <v>12.556187135195287</v>
      </c>
      <c r="E28" s="17">
        <f t="shared" si="3"/>
        <v>-35.814013254610288</v>
      </c>
      <c r="F28" s="17">
        <f t="shared" si="3"/>
        <v>28.012385440594173</v>
      </c>
      <c r="G28" s="17">
        <f t="shared" si="3"/>
        <v>9.5920057121914937</v>
      </c>
      <c r="H28" s="17">
        <f t="shared" si="3"/>
        <v>4.0730892989773935</v>
      </c>
      <c r="I28" s="17">
        <f t="shared" si="3"/>
        <v>13.498957981849387</v>
      </c>
      <c r="J28" s="17">
        <f t="shared" si="3"/>
        <v>1.2609693492861567</v>
      </c>
      <c r="K28" s="17">
        <f t="shared" si="3"/>
        <v>-8.7341679198770947</v>
      </c>
      <c r="L28" s="17">
        <f t="shared" si="3"/>
        <v>-19.923861440169347</v>
      </c>
      <c r="M28" s="17">
        <f t="shared" si="3"/>
        <v>31.066519416255417</v>
      </c>
      <c r="N28" s="17">
        <f t="shared" si="3"/>
        <v>-22.387420169742157</v>
      </c>
      <c r="O28" s="17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7">
        <f t="shared" si="2"/>
        <v>-33.519203760497916</v>
      </c>
      <c r="E29" s="17">
        <f t="shared" si="3"/>
        <v>12.556187135195287</v>
      </c>
      <c r="F29" s="17">
        <f t="shared" si="3"/>
        <v>-35.814013254610288</v>
      </c>
      <c r="G29" s="17">
        <f t="shared" si="3"/>
        <v>28.012385440594173</v>
      </c>
      <c r="H29" s="17">
        <f t="shared" si="3"/>
        <v>9.5920057121914937</v>
      </c>
      <c r="I29" s="17">
        <f t="shared" si="3"/>
        <v>4.0730892989773935</v>
      </c>
      <c r="J29" s="17">
        <f t="shared" si="3"/>
        <v>13.498957981849387</v>
      </c>
      <c r="K29" s="17">
        <f t="shared" si="3"/>
        <v>1.2609693492861567</v>
      </c>
      <c r="L29" s="17">
        <f t="shared" si="3"/>
        <v>-8.7341679198770947</v>
      </c>
      <c r="M29" s="17">
        <f t="shared" si="3"/>
        <v>-19.923861440169347</v>
      </c>
      <c r="N29" s="17">
        <f t="shared" si="3"/>
        <v>31.066519416255417</v>
      </c>
      <c r="O29" s="17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7">
        <f t="shared" si="2"/>
        <v>-1.1780244166387348</v>
      </c>
      <c r="E30" s="17">
        <f t="shared" si="3"/>
        <v>-33.519203760497916</v>
      </c>
      <c r="F30" s="17">
        <f t="shared" si="3"/>
        <v>12.556187135195287</v>
      </c>
      <c r="G30" s="17">
        <f t="shared" si="3"/>
        <v>-35.814013254610288</v>
      </c>
      <c r="H30" s="17">
        <f t="shared" si="3"/>
        <v>28.012385440594173</v>
      </c>
      <c r="I30" s="17">
        <f t="shared" si="3"/>
        <v>9.5920057121914937</v>
      </c>
      <c r="J30" s="17">
        <f t="shared" si="3"/>
        <v>4.0730892989773935</v>
      </c>
      <c r="K30" s="17">
        <f t="shared" si="3"/>
        <v>13.498957981849387</v>
      </c>
      <c r="L30" s="17">
        <f t="shared" si="3"/>
        <v>1.2609693492861567</v>
      </c>
      <c r="M30" s="17">
        <f t="shared" si="3"/>
        <v>-8.7341679198770947</v>
      </c>
      <c r="N30" s="17">
        <f t="shared" si="3"/>
        <v>-19.923861440169347</v>
      </c>
      <c r="O30" s="17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7">
        <f t="shared" si="2"/>
        <v>6.7631183752037742</v>
      </c>
      <c r="E31" s="17">
        <f t="shared" si="3"/>
        <v>-1.1780244166387348</v>
      </c>
      <c r="F31" s="17">
        <f t="shared" si="3"/>
        <v>-33.519203760497916</v>
      </c>
      <c r="G31" s="17">
        <f t="shared" si="3"/>
        <v>12.556187135195287</v>
      </c>
      <c r="H31" s="17">
        <f t="shared" si="3"/>
        <v>-35.814013254610288</v>
      </c>
      <c r="I31" s="17">
        <f t="shared" si="3"/>
        <v>28.012385440594173</v>
      </c>
      <c r="J31" s="17">
        <f t="shared" si="3"/>
        <v>9.5920057121914937</v>
      </c>
      <c r="K31" s="17">
        <f t="shared" si="3"/>
        <v>4.0730892989773935</v>
      </c>
      <c r="L31" s="17">
        <f t="shared" si="3"/>
        <v>13.498957981849387</v>
      </c>
      <c r="M31" s="17">
        <f t="shared" si="3"/>
        <v>1.2609693492861567</v>
      </c>
      <c r="N31" s="17">
        <f t="shared" si="3"/>
        <v>-8.7341679198770947</v>
      </c>
      <c r="O31" s="17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7">
        <f t="shared" si="2"/>
        <v>-18.891727039242724</v>
      </c>
      <c r="E32" s="17">
        <f t="shared" si="3"/>
        <v>6.7631183752037742</v>
      </c>
      <c r="F32" s="17">
        <f t="shared" si="3"/>
        <v>-1.1780244166387348</v>
      </c>
      <c r="G32" s="17">
        <f t="shared" si="3"/>
        <v>-33.519203760497916</v>
      </c>
      <c r="H32" s="17">
        <f t="shared" si="3"/>
        <v>12.556187135195287</v>
      </c>
      <c r="I32" s="17">
        <f t="shared" si="3"/>
        <v>-35.814013254610288</v>
      </c>
      <c r="J32" s="17">
        <f t="shared" si="3"/>
        <v>28.012385440594173</v>
      </c>
      <c r="K32" s="17">
        <f t="shared" si="3"/>
        <v>9.5920057121914937</v>
      </c>
      <c r="L32" s="17">
        <f t="shared" si="3"/>
        <v>4.0730892989773935</v>
      </c>
      <c r="M32" s="17">
        <f t="shared" si="3"/>
        <v>13.498957981849387</v>
      </c>
      <c r="N32" s="17">
        <f t="shared" si="3"/>
        <v>1.2609693492861567</v>
      </c>
      <c r="O32" s="17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7">
        <f t="shared" si="2"/>
        <v>7.8987166730864686</v>
      </c>
      <c r="E33" s="17">
        <f t="shared" si="3"/>
        <v>-18.891727039242724</v>
      </c>
      <c r="F33" s="17">
        <f t="shared" si="3"/>
        <v>6.7631183752037742</v>
      </c>
      <c r="G33" s="17">
        <f t="shared" si="3"/>
        <v>-1.1780244166387348</v>
      </c>
      <c r="H33" s="17">
        <f t="shared" si="3"/>
        <v>-33.519203760497916</v>
      </c>
      <c r="I33" s="17">
        <f t="shared" si="3"/>
        <v>12.556187135195287</v>
      </c>
      <c r="J33" s="17">
        <f t="shared" si="3"/>
        <v>-35.814013254610288</v>
      </c>
      <c r="K33" s="17">
        <f t="shared" si="3"/>
        <v>28.012385440594173</v>
      </c>
      <c r="L33" s="17">
        <f t="shared" si="3"/>
        <v>9.5920057121914937</v>
      </c>
      <c r="M33" s="17">
        <f t="shared" si="3"/>
        <v>4.0730892989773935</v>
      </c>
      <c r="N33" s="17">
        <f t="shared" si="3"/>
        <v>13.498957981849387</v>
      </c>
      <c r="O33" s="17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7">
        <f t="shared" si="2"/>
        <v>-4.3701582744359513</v>
      </c>
      <c r="E34" s="17">
        <f t="shared" si="3"/>
        <v>7.8987166730864686</v>
      </c>
      <c r="F34" s="17">
        <f t="shared" si="3"/>
        <v>-18.891727039242724</v>
      </c>
      <c r="G34" s="17">
        <f t="shared" si="3"/>
        <v>6.7631183752037742</v>
      </c>
      <c r="H34" s="17">
        <f t="shared" si="3"/>
        <v>-1.1780244166387348</v>
      </c>
      <c r="I34" s="17">
        <f t="shared" si="3"/>
        <v>-33.519203760497916</v>
      </c>
      <c r="J34" s="17">
        <f t="shared" si="3"/>
        <v>12.556187135195287</v>
      </c>
      <c r="K34" s="17">
        <f t="shared" si="3"/>
        <v>-35.814013254610288</v>
      </c>
      <c r="L34" s="17">
        <f t="shared" si="3"/>
        <v>28.012385440594173</v>
      </c>
      <c r="M34" s="17">
        <f t="shared" si="3"/>
        <v>9.5920057121914937</v>
      </c>
      <c r="N34" s="17">
        <f t="shared" si="3"/>
        <v>4.0730892989773935</v>
      </c>
      <c r="O34" s="17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7">
        <f t="shared" si="2"/>
        <v>2.4751707896019042</v>
      </c>
      <c r="E35" s="17">
        <f t="shared" ref="E35:O37" si="4">D34</f>
        <v>-4.3701582744359513</v>
      </c>
      <c r="F35" s="17">
        <f t="shared" si="4"/>
        <v>7.8987166730864686</v>
      </c>
      <c r="G35" s="17">
        <f t="shared" si="4"/>
        <v>-18.891727039242724</v>
      </c>
      <c r="H35" s="17">
        <f t="shared" si="4"/>
        <v>6.7631183752037742</v>
      </c>
      <c r="I35" s="17">
        <f t="shared" si="4"/>
        <v>-1.1780244166387348</v>
      </c>
      <c r="J35" s="17">
        <f t="shared" si="4"/>
        <v>-33.519203760497916</v>
      </c>
      <c r="K35" s="17">
        <f t="shared" si="4"/>
        <v>12.556187135195287</v>
      </c>
      <c r="L35" s="17">
        <f t="shared" si="4"/>
        <v>-35.814013254610288</v>
      </c>
      <c r="M35" s="17">
        <f t="shared" si="4"/>
        <v>28.012385440594173</v>
      </c>
      <c r="N35" s="17">
        <f t="shared" si="4"/>
        <v>9.5920057121914937</v>
      </c>
      <c r="O35" s="17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7">
        <f t="shared" si="2"/>
        <v>-1.4031188127967908</v>
      </c>
      <c r="E36" s="17">
        <f t="shared" si="4"/>
        <v>2.4751707896019042</v>
      </c>
      <c r="F36" s="17">
        <f t="shared" si="4"/>
        <v>-4.3701582744359513</v>
      </c>
      <c r="G36" s="17">
        <f t="shared" si="4"/>
        <v>7.8987166730864686</v>
      </c>
      <c r="H36" s="17">
        <f t="shared" si="4"/>
        <v>-18.891727039242724</v>
      </c>
      <c r="I36" s="17">
        <f t="shared" si="4"/>
        <v>6.7631183752037742</v>
      </c>
      <c r="J36" s="17">
        <f t="shared" si="4"/>
        <v>-1.1780244166387348</v>
      </c>
      <c r="K36" s="17">
        <f t="shared" si="4"/>
        <v>-33.519203760497916</v>
      </c>
      <c r="L36" s="17">
        <f t="shared" si="4"/>
        <v>12.556187135195287</v>
      </c>
      <c r="M36" s="17">
        <f t="shared" si="4"/>
        <v>-35.814013254610288</v>
      </c>
      <c r="N36" s="17">
        <f t="shared" si="4"/>
        <v>28.012385440594173</v>
      </c>
      <c r="O36" s="17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7">
        <f t="shared" si="2"/>
        <v>41.198686548088617</v>
      </c>
      <c r="E37" s="17">
        <f t="shared" si="4"/>
        <v>-1.4031188127967908</v>
      </c>
      <c r="F37" s="17">
        <f t="shared" si="4"/>
        <v>2.4751707896019042</v>
      </c>
      <c r="G37" s="17">
        <f t="shared" si="4"/>
        <v>-4.3701582744359513</v>
      </c>
      <c r="H37" s="17">
        <f t="shared" si="4"/>
        <v>7.8987166730864686</v>
      </c>
      <c r="I37" s="17">
        <f t="shared" si="4"/>
        <v>-18.891727039242724</v>
      </c>
      <c r="J37" s="17">
        <f t="shared" si="4"/>
        <v>6.7631183752037742</v>
      </c>
      <c r="K37" s="17">
        <f t="shared" si="4"/>
        <v>-1.1780244166387348</v>
      </c>
      <c r="L37" s="17">
        <f t="shared" si="4"/>
        <v>-33.519203760497916</v>
      </c>
      <c r="M37" s="17">
        <f t="shared" si="4"/>
        <v>12.556187135195287</v>
      </c>
      <c r="N37" s="17">
        <f t="shared" si="4"/>
        <v>-35.814013254610288</v>
      </c>
      <c r="O37" s="17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7">
        <f t="shared" ref="D38:O38" si="5">SUMPRODUCT($C2:$C37,D2:D37)</f>
        <v>-474.06902346061611</v>
      </c>
      <c r="E38" s="17">
        <f t="shared" si="5"/>
        <v>753.36279907322205</v>
      </c>
      <c r="F38" s="17">
        <f t="shared" si="5"/>
        <v>-229.30649040396986</v>
      </c>
      <c r="G38" s="17">
        <f t="shared" si="5"/>
        <v>-2223.6415018940424</v>
      </c>
      <c r="H38" s="17">
        <f t="shared" si="5"/>
        <v>1544.2836096311221</v>
      </c>
      <c r="I38" s="17">
        <f t="shared" si="5"/>
        <v>-2442.5313252907113</v>
      </c>
      <c r="J38" s="17">
        <f t="shared" si="5"/>
        <v>1790.5251261045746</v>
      </c>
      <c r="K38" s="17">
        <f t="shared" si="5"/>
        <v>-4382.6087819461973</v>
      </c>
      <c r="L38" s="17">
        <f t="shared" si="5"/>
        <v>-167.69988735195102</v>
      </c>
      <c r="M38" s="17">
        <f t="shared" si="5"/>
        <v>-1460.419041194159</v>
      </c>
      <c r="N38" s="17">
        <f t="shared" si="5"/>
        <v>733.06204310153248</v>
      </c>
      <c r="O38" s="17">
        <f t="shared" si="5"/>
        <v>5512.8013997480111</v>
      </c>
    </row>
    <row r="40" spans="1:15" x14ac:dyDescent="0.25">
      <c r="C40" s="17" t="s">
        <v>11</v>
      </c>
      <c r="D40" s="17">
        <f t="shared" ref="D40:O40" si="6">D38/$C38</f>
        <v>-3.4763907620820676E-2</v>
      </c>
      <c r="E40" s="17">
        <f t="shared" si="6"/>
        <v>5.5244771237663734E-2</v>
      </c>
      <c r="F40" s="17">
        <f t="shared" si="6"/>
        <v>-1.6815251059997725E-2</v>
      </c>
      <c r="G40" s="17">
        <f t="shared" si="6"/>
        <v>-0.16306163011743255</v>
      </c>
      <c r="H40" s="17">
        <f t="shared" si="6"/>
        <v>0.11324370521758802</v>
      </c>
      <c r="I40" s="17">
        <f t="shared" si="6"/>
        <v>-0.17911301762246684</v>
      </c>
      <c r="J40" s="17">
        <f t="shared" si="6"/>
        <v>0.13130081696179177</v>
      </c>
      <c r="K40" s="17">
        <f t="shared" si="6"/>
        <v>-0.32138064141293182</v>
      </c>
      <c r="L40" s="17">
        <f t="shared" si="6"/>
        <v>-1.2297583481342113E-2</v>
      </c>
      <c r="M40" s="17">
        <f t="shared" si="6"/>
        <v>-0.10709384103004785</v>
      </c>
      <c r="N40" s="17">
        <f t="shared" si="6"/>
        <v>5.3756098554346619E-2</v>
      </c>
      <c r="O40" s="17">
        <f t="shared" si="6"/>
        <v>0.40425868198218617</v>
      </c>
    </row>
    <row r="41" spans="1:15" x14ac:dyDescent="0.25">
      <c r="C41" s="17" t="s">
        <v>26</v>
      </c>
      <c r="D41" s="17">
        <f>2/SQRT(36)</f>
        <v>0.33333333333333331</v>
      </c>
      <c r="E41" s="17">
        <f t="shared" ref="E41:O41" si="7">2/SQRT(36)</f>
        <v>0.33333333333333331</v>
      </c>
      <c r="F41" s="17">
        <f t="shared" si="7"/>
        <v>0.33333333333333331</v>
      </c>
      <c r="G41" s="17">
        <f t="shared" si="7"/>
        <v>0.33333333333333331</v>
      </c>
      <c r="H41" s="17">
        <f t="shared" si="7"/>
        <v>0.33333333333333331</v>
      </c>
      <c r="I41" s="17">
        <f t="shared" si="7"/>
        <v>0.33333333333333331</v>
      </c>
      <c r="J41" s="17">
        <f t="shared" si="7"/>
        <v>0.33333333333333331</v>
      </c>
      <c r="K41" s="17">
        <f t="shared" si="7"/>
        <v>0.33333333333333331</v>
      </c>
      <c r="L41" s="17">
        <f t="shared" si="7"/>
        <v>0.33333333333333331</v>
      </c>
      <c r="M41" s="17">
        <f t="shared" si="7"/>
        <v>0.33333333333333331</v>
      </c>
      <c r="N41" s="17">
        <f t="shared" si="7"/>
        <v>0.33333333333333331</v>
      </c>
      <c r="O41" s="17">
        <f t="shared" si="7"/>
        <v>0.33333333333333331</v>
      </c>
    </row>
    <row r="42" spans="1:15" x14ac:dyDescent="0.25">
      <c r="C42" s="17" t="s">
        <v>27</v>
      </c>
      <c r="D42" s="17">
        <f>-2/SQRT(36)</f>
        <v>-0.33333333333333331</v>
      </c>
      <c r="E42" s="17">
        <f t="shared" ref="E42:N42" si="8">-2/SQRT(36)</f>
        <v>-0.33333333333333331</v>
      </c>
      <c r="F42" s="17">
        <f t="shared" si="8"/>
        <v>-0.33333333333333331</v>
      </c>
      <c r="G42" s="17">
        <f t="shared" si="8"/>
        <v>-0.33333333333333331</v>
      </c>
      <c r="H42" s="17">
        <f t="shared" si="8"/>
        <v>-0.33333333333333331</v>
      </c>
      <c r="I42" s="17">
        <f t="shared" si="8"/>
        <v>-0.33333333333333331</v>
      </c>
      <c r="J42" s="17">
        <f t="shared" si="8"/>
        <v>-0.33333333333333331</v>
      </c>
      <c r="K42" s="17">
        <f t="shared" si="8"/>
        <v>-0.33333333333333331</v>
      </c>
      <c r="L42" s="17">
        <f t="shared" si="8"/>
        <v>-0.33333333333333331</v>
      </c>
      <c r="M42" s="17">
        <f t="shared" si="8"/>
        <v>-0.33333333333333331</v>
      </c>
      <c r="N42" s="17">
        <f t="shared" si="8"/>
        <v>-0.33333333333333331</v>
      </c>
      <c r="O42" s="17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H37"/>
  <sheetViews>
    <sheetView topLeftCell="D1" workbookViewId="0">
      <selection activeCell="E13" sqref="E13"/>
    </sheetView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3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3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3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3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3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3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3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3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3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3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3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3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31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31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31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31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31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31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31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31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31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31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31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31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30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30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30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30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30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30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30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30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30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30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30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30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V64"/>
  <sheetViews>
    <sheetView tabSelected="1" topLeftCell="C1" workbookViewId="0">
      <pane ySplit="4" topLeftCell="A5" activePane="bottomLeft" state="frozen"/>
      <selection activeCell="O15" sqref="O15"/>
      <selection pane="bottomLeft" activeCell="K4" sqref="K4"/>
    </sheetView>
  </sheetViews>
  <sheetFormatPr defaultColWidth="11" defaultRowHeight="15.75" x14ac:dyDescent="0.25"/>
  <cols>
    <col min="6" max="8" width="10.875" customWidth="1"/>
  </cols>
  <sheetData>
    <row r="1" spans="1:22" ht="63" x14ac:dyDescent="0.25">
      <c r="A1" s="1" t="s">
        <v>14</v>
      </c>
      <c r="B1" s="1"/>
      <c r="C1" s="18" t="s">
        <v>15</v>
      </c>
      <c r="D1" s="18" t="s">
        <v>16</v>
      </c>
      <c r="E1" s="18" t="s">
        <v>18</v>
      </c>
      <c r="G1" s="18" t="s">
        <v>8</v>
      </c>
      <c r="H1" s="18" t="s">
        <v>9</v>
      </c>
    </row>
    <row r="2" spans="1:22" x14ac:dyDescent="0.25">
      <c r="A2">
        <v>36</v>
      </c>
      <c r="C2" s="17">
        <v>0.64100000000000001</v>
      </c>
      <c r="D2" s="17">
        <v>0.1</v>
      </c>
      <c r="E2" s="17">
        <v>0</v>
      </c>
      <c r="G2" s="17">
        <f>SUM(H17:H52)</f>
        <v>3943.603984021277</v>
      </c>
      <c r="H2" s="17">
        <f>SQRT(G2/(36-3))</f>
        <v>10.931749678388533</v>
      </c>
      <c r="K2">
        <v>14516</v>
      </c>
    </row>
    <row r="4" spans="1:22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  <c r="K4" s="35">
        <f>SUM(V6:V41)</f>
        <v>14503.35993258941</v>
      </c>
    </row>
    <row r="5" spans="1:22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  <c r="R5" s="4">
        <v>144.41999999999999</v>
      </c>
      <c r="S5" s="7">
        <v>2.2094999999999998</v>
      </c>
    </row>
    <row r="6" spans="1:22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  <c r="P6">
        <v>1</v>
      </c>
      <c r="Q6">
        <v>165</v>
      </c>
      <c r="R6">
        <f>(R5+S5)+($C$2*U6)</f>
        <v>158.4049905</v>
      </c>
      <c r="S6">
        <f>S5+($D$2*$C$2*U6)</f>
        <v>3.3870490500000012</v>
      </c>
      <c r="T6" s="33">
        <f>R5+S5</f>
        <v>146.62949999999998</v>
      </c>
      <c r="U6" s="33">
        <f>Q6-T6</f>
        <v>18.370500000000021</v>
      </c>
      <c r="V6" s="34">
        <f>U6^2</f>
        <v>337.47527025000079</v>
      </c>
    </row>
    <row r="7" spans="1:22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  <c r="P7">
        <v>2</v>
      </c>
      <c r="Q7">
        <v>171</v>
      </c>
      <c r="R7">
        <f t="shared" ref="R7:R53" si="0">(R6+S6)+($C$2*U7)</f>
        <v>167.69434219844999</v>
      </c>
      <c r="S7">
        <f t="shared" ref="S7:S53" si="1">S6+($D$2*$C$2*U7)</f>
        <v>3.9772793148450014</v>
      </c>
      <c r="T7" s="33">
        <f t="shared" ref="T7:T53" si="2">R6+S6</f>
        <v>161.79203955</v>
      </c>
      <c r="U7" s="33">
        <f t="shared" ref="U7:U53" si="3">Q7-T7</f>
        <v>9.2079604500000016</v>
      </c>
      <c r="V7" s="34">
        <f>U7^2</f>
        <v>84.786535648764229</v>
      </c>
    </row>
    <row r="8" spans="1:22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  <c r="P8">
        <v>3</v>
      </c>
      <c r="Q8">
        <v>147</v>
      </c>
      <c r="R8">
        <f t="shared" si="0"/>
        <v>155.85711212327288</v>
      </c>
      <c r="S8">
        <f t="shared" si="1"/>
        <v>2.3958283758427932</v>
      </c>
      <c r="T8" s="33">
        <f t="shared" si="2"/>
        <v>171.67162151329498</v>
      </c>
      <c r="U8" s="33">
        <f t="shared" si="3"/>
        <v>-24.67162151329498</v>
      </c>
      <c r="V8" s="34">
        <f t="shared" ref="V7:V53" si="4">SUM(U8^2)</f>
        <v>608.68890809527966</v>
      </c>
    </row>
    <row r="9" spans="1:22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  <c r="P9">
        <v>4</v>
      </c>
      <c r="Q9">
        <v>143</v>
      </c>
      <c r="R9">
        <f t="shared" si="0"/>
        <v>148.47580563918254</v>
      </c>
      <c r="S9">
        <f t="shared" si="1"/>
        <v>1.418114889849478</v>
      </c>
      <c r="T9" s="33">
        <f t="shared" si="2"/>
        <v>158.25294049911568</v>
      </c>
      <c r="U9" s="33">
        <f t="shared" si="3"/>
        <v>-15.252940499115681</v>
      </c>
      <c r="V9" s="34">
        <f t="shared" si="4"/>
        <v>232.65219386956332</v>
      </c>
    </row>
    <row r="10" spans="1:22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  <c r="P10">
        <v>5</v>
      </c>
      <c r="Q10">
        <v>164</v>
      </c>
      <c r="R10">
        <f t="shared" si="0"/>
        <v>158.93591746992249</v>
      </c>
      <c r="S10">
        <f t="shared" si="1"/>
        <v>2.322314583938526</v>
      </c>
      <c r="T10" s="33">
        <f t="shared" si="2"/>
        <v>149.89392052903202</v>
      </c>
      <c r="U10" s="33">
        <f t="shared" si="3"/>
        <v>14.106079470967984</v>
      </c>
      <c r="V10" s="34">
        <f t="shared" si="4"/>
        <v>198.98147804126441</v>
      </c>
    </row>
    <row r="11" spans="1:22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  <c r="P11">
        <v>6</v>
      </c>
      <c r="Q11">
        <v>160</v>
      </c>
      <c r="R11">
        <f t="shared" si="0"/>
        <v>160.45170530733611</v>
      </c>
      <c r="S11">
        <f t="shared" si="1"/>
        <v>2.2416619092860355</v>
      </c>
      <c r="T11" s="33">
        <f t="shared" si="2"/>
        <v>161.25823205386101</v>
      </c>
      <c r="U11" s="33">
        <f t="shared" si="3"/>
        <v>-1.2582320538610077</v>
      </c>
      <c r="V11" s="34">
        <f t="shared" si="4"/>
        <v>1.5831479013632896</v>
      </c>
    </row>
    <row r="12" spans="1:22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  <c r="P12">
        <v>7</v>
      </c>
      <c r="Q12">
        <v>152</v>
      </c>
      <c r="R12">
        <f t="shared" si="0"/>
        <v>155.83891883076734</v>
      </c>
      <c r="S12">
        <f t="shared" si="1"/>
        <v>1.5562170707005567</v>
      </c>
      <c r="T12" s="33">
        <f t="shared" si="2"/>
        <v>162.69336721662214</v>
      </c>
      <c r="U12" s="33">
        <f t="shared" si="3"/>
        <v>-10.693367216622136</v>
      </c>
      <c r="V12" s="34">
        <f t="shared" si="4"/>
        <v>114.34810242952904</v>
      </c>
    </row>
    <row r="13" spans="1:22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  <c r="P13">
        <v>8</v>
      </c>
      <c r="Q13">
        <v>150</v>
      </c>
      <c r="R13">
        <f t="shared" si="0"/>
        <v>152.65485378862698</v>
      </c>
      <c r="S13">
        <f t="shared" si="1"/>
        <v>1.0821888594164637</v>
      </c>
      <c r="T13" s="33">
        <f t="shared" si="2"/>
        <v>157.39513590146791</v>
      </c>
      <c r="U13" s="33">
        <f t="shared" si="3"/>
        <v>-7.3951359014679099</v>
      </c>
      <c r="V13" s="34">
        <f t="shared" si="4"/>
        <v>54.6880350011796</v>
      </c>
    </row>
    <row r="14" spans="1:22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  <c r="P14">
        <v>9</v>
      </c>
      <c r="Q14">
        <v>159</v>
      </c>
      <c r="R14">
        <f t="shared" si="0"/>
        <v>157.11059831064759</v>
      </c>
      <c r="S14">
        <f t="shared" si="1"/>
        <v>1.4195444256768783</v>
      </c>
      <c r="T14" s="33">
        <f t="shared" si="2"/>
        <v>153.73704264804346</v>
      </c>
      <c r="U14" s="33">
        <f t="shared" si="3"/>
        <v>5.262957351956544</v>
      </c>
      <c r="V14" s="34">
        <f t="shared" si="4"/>
        <v>27.698720088513436</v>
      </c>
    </row>
    <row r="15" spans="1:22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  <c r="P15">
        <v>10</v>
      </c>
      <c r="Q15">
        <v>169</v>
      </c>
      <c r="R15">
        <f t="shared" si="0"/>
        <v>165.24132124234049</v>
      </c>
      <c r="S15">
        <f t="shared" si="1"/>
        <v>2.0906622762784792</v>
      </c>
      <c r="T15" s="33">
        <f t="shared" si="2"/>
        <v>158.53014273632448</v>
      </c>
      <c r="U15" s="33">
        <f t="shared" si="3"/>
        <v>10.469857263675522</v>
      </c>
      <c r="V15" s="34">
        <f t="shared" si="4"/>
        <v>109.61791112173908</v>
      </c>
    </row>
    <row r="16" spans="1:22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  <c r="P16">
        <v>11</v>
      </c>
      <c r="Q16">
        <v>173</v>
      </c>
      <c r="R16">
        <f t="shared" si="0"/>
        <v>170.9651820831842</v>
      </c>
      <c r="S16">
        <f t="shared" si="1"/>
        <v>2.4539821327350024</v>
      </c>
      <c r="T16" s="33">
        <f t="shared" si="2"/>
        <v>167.33198351861898</v>
      </c>
      <c r="U16" s="33">
        <f t="shared" si="3"/>
        <v>5.6680164813810165</v>
      </c>
      <c r="V16" s="34">
        <f t="shared" si="4"/>
        <v>32.12641083320684</v>
      </c>
    </row>
    <row r="17" spans="1:22" x14ac:dyDescent="0.25">
      <c r="A17">
        <v>1</v>
      </c>
      <c r="B17">
        <v>165</v>
      </c>
      <c r="C17" s="17">
        <f>C16+D16+C$2*G17/E5</f>
        <v>159.66430285461266</v>
      </c>
      <c r="D17" s="17">
        <f>D16+D$2*C$2*G17/E5</f>
        <v>3.5129802854612682</v>
      </c>
      <c r="E17" s="21">
        <f>E5+E$2*(1-C$2)*G17/(C16+D16)</f>
        <v>0.98823339924446252</v>
      </c>
      <c r="F17" s="17">
        <f>(C16+D16)*E5</f>
        <v>144.90416921451589</v>
      </c>
      <c r="G17" s="17">
        <f>B17-F17</f>
        <v>20.095830785484111</v>
      </c>
      <c r="H17" s="17">
        <f>G17^2</f>
        <v>403.84241495881093</v>
      </c>
      <c r="P17">
        <v>12</v>
      </c>
      <c r="Q17">
        <v>203</v>
      </c>
      <c r="R17">
        <f t="shared" si="0"/>
        <v>192.38047995351499</v>
      </c>
      <c r="S17">
        <f t="shared" si="1"/>
        <v>4.3501137064945814</v>
      </c>
      <c r="T17" s="33">
        <f t="shared" si="2"/>
        <v>173.41916421591921</v>
      </c>
      <c r="U17" s="33">
        <f t="shared" si="3"/>
        <v>29.58083578408079</v>
      </c>
      <c r="V17" s="34">
        <f t="shared" si="4"/>
        <v>875.02584568475459</v>
      </c>
    </row>
    <row r="18" spans="1:22" x14ac:dyDescent="0.25">
      <c r="A18">
        <v>2</v>
      </c>
      <c r="B18">
        <v>171</v>
      </c>
      <c r="C18" s="17">
        <f t="shared" ref="C18:C52" si="5">C17+D17+C$2*G18/E6</f>
        <v>164.03063909314693</v>
      </c>
      <c r="D18" s="17">
        <f t="shared" ref="D18:D52" si="6">D17+D$2*C$2*G18/E6</f>
        <v>3.598315880768566</v>
      </c>
      <c r="E18" s="21">
        <f t="shared" ref="E18:E51" si="7">E6+E$2*(1-C$2)*G18/(C17+D17)</f>
        <v>1.0394595142086607</v>
      </c>
      <c r="F18" s="17">
        <f t="shared" ref="F18:F52" si="8">(C17+D17)*E6</f>
        <v>169.61617946267035</v>
      </c>
      <c r="G18" s="17">
        <f t="shared" ref="G18:G52" si="9">B18-F18</f>
        <v>1.3838205373296546</v>
      </c>
      <c r="H18" s="17">
        <f t="shared" ref="H18:H52" si="10">G18^2</f>
        <v>1.9149592795353341</v>
      </c>
      <c r="P18">
        <v>13</v>
      </c>
      <c r="Q18">
        <v>169</v>
      </c>
      <c r="R18">
        <f t="shared" si="0"/>
        <v>178.95528312394345</v>
      </c>
      <c r="S18">
        <f t="shared" si="1"/>
        <v>2.5725826528879683</v>
      </c>
      <c r="T18" s="33">
        <f t="shared" si="2"/>
        <v>196.73059366000956</v>
      </c>
      <c r="U18" s="33">
        <f t="shared" si="3"/>
        <v>-27.730593660009561</v>
      </c>
      <c r="V18" s="34">
        <f t="shared" si="4"/>
        <v>768.98582473656245</v>
      </c>
    </row>
    <row r="19" spans="1:22" x14ac:dyDescent="0.25">
      <c r="A19">
        <v>3</v>
      </c>
      <c r="B19">
        <v>147</v>
      </c>
      <c r="C19" s="17">
        <f t="shared" si="5"/>
        <v>161.17958539274122</v>
      </c>
      <c r="D19" s="17">
        <f t="shared" si="6"/>
        <v>2.9533789226511393</v>
      </c>
      <c r="E19" s="21">
        <f t="shared" si="7"/>
        <v>0.93293329171244777</v>
      </c>
      <c r="F19" s="17">
        <f t="shared" si="8"/>
        <v>156.38663275013266</v>
      </c>
      <c r="G19" s="17">
        <f t="shared" si="9"/>
        <v>-9.3866327501326623</v>
      </c>
      <c r="H19" s="17">
        <f t="shared" si="10"/>
        <v>88.108874385863061</v>
      </c>
      <c r="P19">
        <v>14</v>
      </c>
      <c r="Q19">
        <v>166</v>
      </c>
      <c r="R19">
        <f t="shared" si="0"/>
        <v>171.57450381388247</v>
      </c>
      <c r="S19">
        <f t="shared" si="1"/>
        <v>1.5772464565930742</v>
      </c>
      <c r="T19" s="33">
        <f t="shared" si="2"/>
        <v>181.52786577683142</v>
      </c>
      <c r="U19" s="33">
        <f t="shared" si="3"/>
        <v>-15.527865776831419</v>
      </c>
      <c r="V19" s="34">
        <f t="shared" si="4"/>
        <v>241.11461558329242</v>
      </c>
    </row>
    <row r="20" spans="1:22" x14ac:dyDescent="0.25">
      <c r="A20">
        <v>4</v>
      </c>
      <c r="B20">
        <v>143</v>
      </c>
      <c r="C20" s="17">
        <f t="shared" si="5"/>
        <v>159.36557661797801</v>
      </c>
      <c r="D20" s="17">
        <f t="shared" si="6"/>
        <v>2.4766401529097068</v>
      </c>
      <c r="E20" s="21">
        <f t="shared" si="7"/>
        <v>0.91259775591054715</v>
      </c>
      <c r="F20" s="17">
        <f t="shared" si="8"/>
        <v>149.78737490517295</v>
      </c>
      <c r="G20" s="17">
        <f t="shared" si="9"/>
        <v>-6.7873749051729533</v>
      </c>
      <c r="H20" s="17">
        <f t="shared" si="10"/>
        <v>46.068458103371555</v>
      </c>
      <c r="P20">
        <v>15</v>
      </c>
      <c r="Q20">
        <v>162</v>
      </c>
      <c r="R20">
        <f t="shared" si="0"/>
        <v>166.00347834710072</v>
      </c>
      <c r="S20">
        <f t="shared" si="1"/>
        <v>0.86241926425559068</v>
      </c>
      <c r="T20" s="33">
        <f t="shared" si="2"/>
        <v>173.15175027047556</v>
      </c>
      <c r="U20" s="33">
        <f t="shared" si="3"/>
        <v>-11.15175027047556</v>
      </c>
      <c r="V20" s="34">
        <f t="shared" si="4"/>
        <v>124.36153409505172</v>
      </c>
    </row>
    <row r="21" spans="1:22" x14ac:dyDescent="0.25">
      <c r="A21">
        <v>5</v>
      </c>
      <c r="B21">
        <v>164</v>
      </c>
      <c r="C21" s="17">
        <f t="shared" si="5"/>
        <v>158.89035980791326</v>
      </c>
      <c r="D21" s="17">
        <f t="shared" si="6"/>
        <v>2.18145445661226</v>
      </c>
      <c r="E21" s="21">
        <f t="shared" si="7"/>
        <v>1.0430106047420362</v>
      </c>
      <c r="F21" s="17">
        <f t="shared" si="8"/>
        <v>168.8031483869953</v>
      </c>
      <c r="G21" s="17">
        <f t="shared" si="9"/>
        <v>-4.8031483869953036</v>
      </c>
      <c r="H21" s="17">
        <f t="shared" si="10"/>
        <v>23.070234427495585</v>
      </c>
      <c r="P21">
        <v>16</v>
      </c>
      <c r="Q21">
        <v>147</v>
      </c>
      <c r="R21">
        <f t="shared" si="0"/>
        <v>154.13185724247691</v>
      </c>
      <c r="S21">
        <f t="shared" si="1"/>
        <v>-0.41098477263234845</v>
      </c>
      <c r="T21" s="33">
        <f t="shared" si="2"/>
        <v>166.8658976113563</v>
      </c>
      <c r="U21" s="33">
        <f t="shared" si="3"/>
        <v>-19.865897611356303</v>
      </c>
      <c r="V21" s="34">
        <f t="shared" si="4"/>
        <v>394.65388790489203</v>
      </c>
    </row>
    <row r="22" spans="1:22" x14ac:dyDescent="0.25">
      <c r="A22">
        <v>6</v>
      </c>
      <c r="B22">
        <v>160</v>
      </c>
      <c r="C22" s="17">
        <f t="shared" si="5"/>
        <v>170.97040885212451</v>
      </c>
      <c r="D22" s="17">
        <f t="shared" si="6"/>
        <v>3.1713139153721586</v>
      </c>
      <c r="E22" s="21">
        <f t="shared" si="7"/>
        <v>0.90644245153667458</v>
      </c>
      <c r="F22" s="17">
        <f t="shared" si="8"/>
        <v>146.00233019539644</v>
      </c>
      <c r="G22" s="17">
        <f t="shared" si="9"/>
        <v>13.997669804603561</v>
      </c>
      <c r="H22" s="17">
        <f t="shared" si="10"/>
        <v>195.93475995871029</v>
      </c>
      <c r="P22">
        <v>17</v>
      </c>
      <c r="Q22">
        <v>188</v>
      </c>
      <c r="R22">
        <f t="shared" si="0"/>
        <v>175.69379321667418</v>
      </c>
      <c r="S22">
        <f t="shared" si="1"/>
        <v>1.7863073020506159</v>
      </c>
      <c r="T22" s="33">
        <f t="shared" si="2"/>
        <v>153.72087246984455</v>
      </c>
      <c r="U22" s="33">
        <f t="shared" si="3"/>
        <v>34.279127530155449</v>
      </c>
      <c r="V22" s="34">
        <f t="shared" si="4"/>
        <v>1175.0585842286612</v>
      </c>
    </row>
    <row r="23" spans="1:22" x14ac:dyDescent="0.25">
      <c r="A23">
        <v>7</v>
      </c>
      <c r="B23">
        <v>152</v>
      </c>
      <c r="C23" s="17">
        <f t="shared" si="5"/>
        <v>168.32489622172878</v>
      </c>
      <c r="D23" s="17">
        <f t="shared" si="6"/>
        <v>2.5896312607953678</v>
      </c>
      <c r="E23" s="21">
        <f t="shared" si="7"/>
        <v>0.92083758937691518</v>
      </c>
      <c r="F23" s="17">
        <f t="shared" si="8"/>
        <v>160.35624420316469</v>
      </c>
      <c r="G23" s="17">
        <f t="shared" si="9"/>
        <v>-8.3562442031646924</v>
      </c>
      <c r="H23" s="17">
        <f t="shared" si="10"/>
        <v>69.82681718292352</v>
      </c>
      <c r="P23">
        <v>18</v>
      </c>
      <c r="Q23">
        <v>161</v>
      </c>
      <c r="R23">
        <f t="shared" si="0"/>
        <v>166.91635608622221</v>
      </c>
      <c r="S23">
        <f t="shared" si="1"/>
        <v>0.7299328588003573</v>
      </c>
      <c r="T23" s="33">
        <f t="shared" si="2"/>
        <v>177.48010051872478</v>
      </c>
      <c r="U23" s="33">
        <f t="shared" si="3"/>
        <v>-16.480100518724782</v>
      </c>
      <c r="V23" s="34">
        <f t="shared" si="4"/>
        <v>271.59371310727283</v>
      </c>
    </row>
    <row r="24" spans="1:22" x14ac:dyDescent="0.25">
      <c r="A24">
        <v>8</v>
      </c>
      <c r="B24">
        <v>150</v>
      </c>
      <c r="C24" s="17">
        <f t="shared" si="5"/>
        <v>165.12242803456047</v>
      </c>
      <c r="D24" s="17">
        <f t="shared" si="6"/>
        <v>2.0104213159990012</v>
      </c>
      <c r="E24" s="21">
        <f t="shared" si="7"/>
        <v>0.92662094367181047</v>
      </c>
      <c r="F24" s="17">
        <f t="shared" si="8"/>
        <v>158.3729807430781</v>
      </c>
      <c r="G24" s="17">
        <f t="shared" si="9"/>
        <v>-8.3729807430781023</v>
      </c>
      <c r="H24" s="17">
        <f t="shared" si="10"/>
        <v>70.106806523956735</v>
      </c>
      <c r="P24">
        <v>19</v>
      </c>
      <c r="Q24">
        <v>162</v>
      </c>
      <c r="R24">
        <f t="shared" si="0"/>
        <v>164.0270177312631</v>
      </c>
      <c r="S24">
        <f t="shared" si="1"/>
        <v>0.36800573742441017</v>
      </c>
      <c r="T24" s="33">
        <f t="shared" si="2"/>
        <v>167.64628894502258</v>
      </c>
      <c r="U24" s="33">
        <f t="shared" si="3"/>
        <v>-5.6462889450225759</v>
      </c>
      <c r="V24" s="34">
        <f t="shared" si="4"/>
        <v>31.880578850684152</v>
      </c>
    </row>
    <row r="25" spans="1:22" x14ac:dyDescent="0.25">
      <c r="A25">
        <v>9</v>
      </c>
      <c r="B25">
        <v>159</v>
      </c>
      <c r="C25" s="17">
        <f t="shared" si="5"/>
        <v>163.10636153727046</v>
      </c>
      <c r="D25" s="17">
        <f t="shared" si="6"/>
        <v>1.6077725346700991</v>
      </c>
      <c r="E25" s="21">
        <f t="shared" si="7"/>
        <v>0.98849075287229571</v>
      </c>
      <c r="F25" s="17">
        <f t="shared" si="8"/>
        <v>165.2092760842265</v>
      </c>
      <c r="G25" s="17">
        <f t="shared" si="9"/>
        <v>-6.2092760842265022</v>
      </c>
      <c r="H25" s="17">
        <f t="shared" si="10"/>
        <v>38.555109490147203</v>
      </c>
      <c r="P25">
        <v>20</v>
      </c>
      <c r="Q25">
        <v>169</v>
      </c>
      <c r="R25">
        <f t="shared" si="0"/>
        <v>167.3468134252588</v>
      </c>
      <c r="S25">
        <f t="shared" si="1"/>
        <v>0.66318473308154158</v>
      </c>
      <c r="T25" s="33">
        <f t="shared" si="2"/>
        <v>164.3950234686875</v>
      </c>
      <c r="U25" s="33">
        <f t="shared" si="3"/>
        <v>4.6049765313125022</v>
      </c>
      <c r="V25" s="34">
        <f t="shared" si="4"/>
        <v>21.205808853938926</v>
      </c>
    </row>
    <row r="26" spans="1:22" x14ac:dyDescent="0.25">
      <c r="A26">
        <v>10</v>
      </c>
      <c r="B26">
        <v>169</v>
      </c>
      <c r="C26" s="17">
        <f t="shared" si="5"/>
        <v>165.73426852993771</v>
      </c>
      <c r="D26" s="17">
        <f t="shared" si="6"/>
        <v>1.7097859804698157</v>
      </c>
      <c r="E26" s="21">
        <f t="shared" si="7"/>
        <v>1.0162014531884298</v>
      </c>
      <c r="F26" s="17">
        <f t="shared" si="8"/>
        <v>167.38274240457986</v>
      </c>
      <c r="G26" s="17">
        <f t="shared" si="9"/>
        <v>1.617257595420142</v>
      </c>
      <c r="H26" s="17">
        <f t="shared" si="10"/>
        <v>2.6155221299441398</v>
      </c>
      <c r="P26">
        <v>21</v>
      </c>
      <c r="Q26">
        <v>185</v>
      </c>
      <c r="R26">
        <f t="shared" si="0"/>
        <v>178.90058933884418</v>
      </c>
      <c r="S26">
        <f t="shared" si="1"/>
        <v>1.7522438511319249</v>
      </c>
      <c r="T26" s="33">
        <f t="shared" si="2"/>
        <v>168.00999815834035</v>
      </c>
      <c r="U26" s="33">
        <f t="shared" si="3"/>
        <v>16.990001841659648</v>
      </c>
      <c r="V26" s="34">
        <f t="shared" si="4"/>
        <v>288.66016257959825</v>
      </c>
    </row>
    <row r="27" spans="1:22" x14ac:dyDescent="0.25">
      <c r="A27">
        <v>11</v>
      </c>
      <c r="B27">
        <v>173</v>
      </c>
      <c r="C27" s="17">
        <f t="shared" si="5"/>
        <v>165.92103060939621</v>
      </c>
      <c r="D27" s="17">
        <f t="shared" si="6"/>
        <v>1.5574835903686859</v>
      </c>
      <c r="E27" s="21">
        <f t="shared" si="7"/>
        <v>1.0480526558060541</v>
      </c>
      <c r="F27" s="17">
        <f t="shared" si="8"/>
        <v>175.49018602856628</v>
      </c>
      <c r="G27" s="17">
        <f t="shared" si="9"/>
        <v>-2.4901860285662849</v>
      </c>
      <c r="H27" s="17">
        <f t="shared" si="10"/>
        <v>6.2010264568667264</v>
      </c>
      <c r="P27">
        <v>22</v>
      </c>
      <c r="Q27">
        <v>188</v>
      </c>
      <c r="R27">
        <f t="shared" si="0"/>
        <v>185.36236711520144</v>
      </c>
      <c r="S27">
        <f t="shared" si="1"/>
        <v>2.2231972436544556</v>
      </c>
      <c r="T27" s="33">
        <f t="shared" si="2"/>
        <v>180.65283318997612</v>
      </c>
      <c r="U27" s="33">
        <f t="shared" si="3"/>
        <v>7.3471668100238787</v>
      </c>
      <c r="V27" s="34">
        <f t="shared" si="4"/>
        <v>53.980860134316458</v>
      </c>
    </row>
    <row r="28" spans="1:22" x14ac:dyDescent="0.25">
      <c r="A28">
        <v>12</v>
      </c>
      <c r="B28">
        <v>203</v>
      </c>
      <c r="C28" s="17">
        <f t="shared" si="5"/>
        <v>168.19992746852103</v>
      </c>
      <c r="D28" s="17">
        <f t="shared" si="6"/>
        <v>1.6296249172442989</v>
      </c>
      <c r="E28" s="21">
        <f t="shared" si="7"/>
        <v>1.2040049076184032</v>
      </c>
      <c r="F28" s="17">
        <f t="shared" si="8"/>
        <v>201.64495301715536</v>
      </c>
      <c r="G28" s="17">
        <f t="shared" si="9"/>
        <v>1.355046982844641</v>
      </c>
      <c r="H28" s="17">
        <f t="shared" si="10"/>
        <v>1.8361523257163648</v>
      </c>
      <c r="P28">
        <v>23</v>
      </c>
      <c r="Q28">
        <v>200</v>
      </c>
      <c r="R28">
        <f t="shared" si="0"/>
        <v>195.54321760482927</v>
      </c>
      <c r="S28">
        <f t="shared" si="1"/>
        <v>3.0189625682517933</v>
      </c>
      <c r="T28" s="33">
        <f t="shared" si="2"/>
        <v>187.58556435885589</v>
      </c>
      <c r="U28" s="33">
        <f t="shared" si="3"/>
        <v>12.414435641144109</v>
      </c>
      <c r="V28" s="34">
        <f t="shared" si="4"/>
        <v>154.11821228810916</v>
      </c>
    </row>
    <row r="29" spans="1:22" x14ac:dyDescent="0.25">
      <c r="A29">
        <v>13</v>
      </c>
      <c r="B29">
        <v>169</v>
      </c>
      <c r="C29" s="17">
        <f t="shared" si="5"/>
        <v>170.58765044545666</v>
      </c>
      <c r="D29" s="17">
        <f t="shared" si="6"/>
        <v>1.705434723213433</v>
      </c>
      <c r="E29" s="21">
        <f t="shared" si="7"/>
        <v>0.98823339924446252</v>
      </c>
      <c r="F29" s="17">
        <f t="shared" si="8"/>
        <v>167.83123584635038</v>
      </c>
      <c r="G29" s="17">
        <f t="shared" si="9"/>
        <v>1.1687641536496187</v>
      </c>
      <c r="H29" s="17">
        <f t="shared" si="10"/>
        <v>1.3660096468563097</v>
      </c>
      <c r="P29">
        <v>24</v>
      </c>
      <c r="Q29">
        <v>229</v>
      </c>
      <c r="R29">
        <f t="shared" si="0"/>
        <v>218.07282268213609</v>
      </c>
      <c r="S29">
        <f t="shared" si="1"/>
        <v>4.9700268191572974</v>
      </c>
      <c r="T29" s="33">
        <f t="shared" si="2"/>
        <v>198.56218017308106</v>
      </c>
      <c r="U29" s="33">
        <f t="shared" si="3"/>
        <v>30.43781982691894</v>
      </c>
      <c r="V29" s="34">
        <f t="shared" si="4"/>
        <v>926.46087581597976</v>
      </c>
    </row>
    <row r="30" spans="1:22" x14ac:dyDescent="0.25">
      <c r="A30">
        <v>14</v>
      </c>
      <c r="B30">
        <v>166</v>
      </c>
      <c r="C30" s="17">
        <f t="shared" si="5"/>
        <v>164.21987885048136</v>
      </c>
      <c r="D30" s="17">
        <f t="shared" si="6"/>
        <v>0.89811409139455911</v>
      </c>
      <c r="E30" s="21">
        <f t="shared" si="7"/>
        <v>1.0394595142086607</v>
      </c>
      <c r="F30" s="17">
        <f t="shared" si="8"/>
        <v>179.09168661093722</v>
      </c>
      <c r="G30" s="17">
        <f t="shared" si="9"/>
        <v>-13.091686610937217</v>
      </c>
      <c r="H30" s="17">
        <f t="shared" si="10"/>
        <v>171.39225831899279</v>
      </c>
      <c r="P30">
        <v>25</v>
      </c>
      <c r="Q30">
        <v>189</v>
      </c>
      <c r="R30">
        <f t="shared" si="0"/>
        <v>201.22138297096433</v>
      </c>
      <c r="S30">
        <f t="shared" si="1"/>
        <v>2.7878801661243902</v>
      </c>
      <c r="T30" s="33">
        <f t="shared" si="2"/>
        <v>223.0428495012934</v>
      </c>
      <c r="U30" s="33">
        <f t="shared" si="3"/>
        <v>-34.042849501293404</v>
      </c>
      <c r="V30" s="34">
        <f t="shared" si="4"/>
        <v>1158.9156021677124</v>
      </c>
    </row>
    <row r="31" spans="1:22" x14ac:dyDescent="0.25">
      <c r="A31">
        <v>15</v>
      </c>
      <c r="B31">
        <v>162</v>
      </c>
      <c r="C31" s="17">
        <f t="shared" si="5"/>
        <v>170.584353141311</v>
      </c>
      <c r="D31" s="17">
        <f t="shared" si="6"/>
        <v>1.4447501113380685</v>
      </c>
      <c r="E31" s="21">
        <f t="shared" si="7"/>
        <v>0.93293329171244777</v>
      </c>
      <c r="F31" s="17">
        <f t="shared" si="8"/>
        <v>154.04407267621701</v>
      </c>
      <c r="G31" s="17">
        <f t="shared" si="9"/>
        <v>7.9559273237829871</v>
      </c>
      <c r="H31" s="17">
        <f t="shared" si="10"/>
        <v>63.29677958131672</v>
      </c>
      <c r="P31">
        <v>26</v>
      </c>
      <c r="Q31">
        <v>218</v>
      </c>
      <c r="R31">
        <f t="shared" si="0"/>
        <v>212.97732546621484</v>
      </c>
      <c r="S31">
        <f t="shared" si="1"/>
        <v>3.684686399037004</v>
      </c>
      <c r="T31" s="33">
        <f t="shared" si="2"/>
        <v>204.00926313708871</v>
      </c>
      <c r="U31" s="33">
        <f t="shared" si="3"/>
        <v>13.990736862911291</v>
      </c>
      <c r="V31" s="34">
        <f t="shared" si="4"/>
        <v>195.74071796722487</v>
      </c>
    </row>
    <row r="32" spans="1:22" x14ac:dyDescent="0.25">
      <c r="A32">
        <v>16</v>
      </c>
      <c r="B32">
        <v>147</v>
      </c>
      <c r="C32" s="17">
        <f t="shared" si="5"/>
        <v>165.00985252243225</v>
      </c>
      <c r="D32" s="17">
        <f t="shared" si="6"/>
        <v>0.74282503831638647</v>
      </c>
      <c r="E32" s="21">
        <f t="shared" si="7"/>
        <v>0.91259775591054715</v>
      </c>
      <c r="F32" s="17">
        <f t="shared" si="8"/>
        <v>156.99337357967136</v>
      </c>
      <c r="G32" s="17">
        <f t="shared" si="9"/>
        <v>-9.9933735796713563</v>
      </c>
      <c r="H32" s="17">
        <f t="shared" si="10"/>
        <v>99.867515502873502</v>
      </c>
      <c r="P32">
        <v>27</v>
      </c>
      <c r="Q32">
        <v>185</v>
      </c>
      <c r="R32">
        <f t="shared" si="0"/>
        <v>196.3666622596254</v>
      </c>
      <c r="S32">
        <f t="shared" si="1"/>
        <v>1.6551514384743617</v>
      </c>
      <c r="T32" s="33">
        <f t="shared" si="2"/>
        <v>216.66201186525183</v>
      </c>
      <c r="U32" s="33">
        <f t="shared" si="3"/>
        <v>-31.662011865251827</v>
      </c>
      <c r="V32" s="34">
        <f t="shared" si="4"/>
        <v>1002.4829953553475</v>
      </c>
    </row>
    <row r="33" spans="1:22" x14ac:dyDescent="0.25">
      <c r="A33">
        <v>17</v>
      </c>
      <c r="B33">
        <v>188</v>
      </c>
      <c r="C33" s="17">
        <f t="shared" si="5"/>
        <v>175.04382557105836</v>
      </c>
      <c r="D33" s="17">
        <f t="shared" si="6"/>
        <v>1.6719398393473581</v>
      </c>
      <c r="E33" s="21">
        <f t="shared" si="7"/>
        <v>1.0430106047420362</v>
      </c>
      <c r="F33" s="17">
        <f t="shared" si="8"/>
        <v>172.8818004602482</v>
      </c>
      <c r="G33" s="17">
        <f t="shared" si="9"/>
        <v>15.118199539751799</v>
      </c>
      <c r="H33" s="17">
        <f t="shared" si="10"/>
        <v>228.55995732375152</v>
      </c>
      <c r="P33">
        <v>28</v>
      </c>
      <c r="Q33">
        <v>199</v>
      </c>
      <c r="R33">
        <f t="shared" si="0"/>
        <v>198.64883111761782</v>
      </c>
      <c r="S33">
        <f t="shared" si="1"/>
        <v>1.7178531804261679</v>
      </c>
      <c r="T33" s="33">
        <f t="shared" si="2"/>
        <v>198.02181369809975</v>
      </c>
      <c r="U33" s="33">
        <f t="shared" si="3"/>
        <v>0.97818630190025146</v>
      </c>
      <c r="V33" s="34">
        <f t="shared" si="4"/>
        <v>0.95684844122528989</v>
      </c>
    </row>
    <row r="34" spans="1:22" x14ac:dyDescent="0.25">
      <c r="A34">
        <v>18</v>
      </c>
      <c r="B34">
        <v>161</v>
      </c>
      <c r="C34" s="17">
        <f t="shared" si="5"/>
        <v>177.29374748556526</v>
      </c>
      <c r="D34" s="17">
        <f t="shared" si="6"/>
        <v>1.729738046863313</v>
      </c>
      <c r="E34" s="21">
        <f t="shared" si="7"/>
        <v>0.90644245153667458</v>
      </c>
      <c r="F34" s="17">
        <f t="shared" si="8"/>
        <v>160.18267162378802</v>
      </c>
      <c r="G34" s="17">
        <f t="shared" si="9"/>
        <v>0.81732837621197518</v>
      </c>
      <c r="H34" s="17">
        <f t="shared" si="10"/>
        <v>0.66802567456130402</v>
      </c>
      <c r="P34">
        <v>29</v>
      </c>
      <c r="Q34">
        <v>210</v>
      </c>
      <c r="R34">
        <f t="shared" si="0"/>
        <v>206.5416396629978</v>
      </c>
      <c r="S34">
        <f t="shared" si="1"/>
        <v>2.3353487169215481</v>
      </c>
      <c r="T34" s="33">
        <f t="shared" si="2"/>
        <v>200.36668429804399</v>
      </c>
      <c r="U34" s="33">
        <f t="shared" si="3"/>
        <v>9.6333157019560076</v>
      </c>
      <c r="V34" s="34">
        <f t="shared" si="4"/>
        <v>92.80077141355217</v>
      </c>
    </row>
    <row r="35" spans="1:22" x14ac:dyDescent="0.25">
      <c r="A35">
        <v>19</v>
      </c>
      <c r="B35">
        <v>162</v>
      </c>
      <c r="C35" s="17">
        <f t="shared" si="5"/>
        <v>177.03850285356285</v>
      </c>
      <c r="D35" s="17">
        <f t="shared" si="6"/>
        <v>1.5312397789767398</v>
      </c>
      <c r="E35" s="21">
        <f t="shared" si="7"/>
        <v>0.92083758937691518</v>
      </c>
      <c r="F35" s="17">
        <f t="shared" si="8"/>
        <v>164.85155485953456</v>
      </c>
      <c r="G35" s="17">
        <f t="shared" si="9"/>
        <v>-2.8515548595345592</v>
      </c>
      <c r="H35" s="17">
        <f t="shared" si="10"/>
        <v>8.1313651169351591</v>
      </c>
      <c r="P35">
        <v>30</v>
      </c>
      <c r="Q35">
        <v>193</v>
      </c>
      <c r="R35">
        <f t="shared" si="0"/>
        <v>198.69983882839105</v>
      </c>
      <c r="S35">
        <f t="shared" si="1"/>
        <v>1.3176337617687184</v>
      </c>
      <c r="T35" s="33">
        <f t="shared" si="2"/>
        <v>208.87698837991934</v>
      </c>
      <c r="U35" s="33">
        <f t="shared" si="3"/>
        <v>-15.876988379919339</v>
      </c>
      <c r="V35" s="34">
        <f t="shared" si="4"/>
        <v>252.07876001609372</v>
      </c>
    </row>
    <row r="36" spans="1:22" x14ac:dyDescent="0.25">
      <c r="A36">
        <v>20</v>
      </c>
      <c r="B36">
        <v>169</v>
      </c>
      <c r="C36" s="17">
        <f t="shared" si="5"/>
        <v>181.01410454473836</v>
      </c>
      <c r="D36" s="17">
        <f t="shared" si="6"/>
        <v>1.7756759701966176</v>
      </c>
      <c r="E36" s="21">
        <f t="shared" si="7"/>
        <v>0.92662094367181047</v>
      </c>
      <c r="F36" s="17">
        <f t="shared" si="8"/>
        <v>165.46646342939616</v>
      </c>
      <c r="G36" s="17">
        <f t="shared" si="9"/>
        <v>3.5335365706038431</v>
      </c>
      <c r="H36" s="17">
        <f t="shared" si="10"/>
        <v>12.485880695794767</v>
      </c>
      <c r="P36">
        <v>31</v>
      </c>
      <c r="Q36">
        <v>211</v>
      </c>
      <c r="R36">
        <f t="shared" si="0"/>
        <v>207.05727265986735</v>
      </c>
      <c r="S36">
        <f t="shared" si="1"/>
        <v>2.0216137687394773</v>
      </c>
      <c r="T36" s="33">
        <f t="shared" si="2"/>
        <v>200.01747259015977</v>
      </c>
      <c r="U36" s="33">
        <f t="shared" si="3"/>
        <v>10.98252740984023</v>
      </c>
      <c r="V36" s="34">
        <f t="shared" si="4"/>
        <v>120.61590830789196</v>
      </c>
    </row>
    <row r="37" spans="1:22" x14ac:dyDescent="0.25">
      <c r="A37">
        <v>21</v>
      </c>
      <c r="B37">
        <v>185</v>
      </c>
      <c r="C37" s="17">
        <f t="shared" si="5"/>
        <v>185.58724626635615</v>
      </c>
      <c r="D37" s="17">
        <f t="shared" si="6"/>
        <v>2.0554225453387338</v>
      </c>
      <c r="E37" s="21">
        <f t="shared" si="7"/>
        <v>0.98849075287229571</v>
      </c>
      <c r="F37" s="17">
        <f t="shared" si="8"/>
        <v>180.68600775856979</v>
      </c>
      <c r="G37" s="17">
        <f t="shared" si="9"/>
        <v>4.3139922414302134</v>
      </c>
      <c r="H37" s="17">
        <f t="shared" si="10"/>
        <v>18.610529059120076</v>
      </c>
      <c r="P37">
        <v>32</v>
      </c>
      <c r="Q37">
        <v>208</v>
      </c>
      <c r="R37">
        <f t="shared" si="0"/>
        <v>208.38732022786985</v>
      </c>
      <c r="S37">
        <f t="shared" si="1"/>
        <v>1.9524571486657791</v>
      </c>
      <c r="T37" s="33">
        <f t="shared" si="2"/>
        <v>209.07888642860684</v>
      </c>
      <c r="U37" s="33">
        <f t="shared" si="3"/>
        <v>-1.078886428606836</v>
      </c>
      <c r="V37" s="34">
        <f t="shared" si="4"/>
        <v>1.1639959258320136</v>
      </c>
    </row>
    <row r="38" spans="1:22" x14ac:dyDescent="0.25">
      <c r="A38">
        <v>22</v>
      </c>
      <c r="B38">
        <v>188</v>
      </c>
      <c r="C38" s="17">
        <f t="shared" si="5"/>
        <v>185.95044086579421</v>
      </c>
      <c r="D38" s="17">
        <f t="shared" si="6"/>
        <v>1.8861997507486674</v>
      </c>
      <c r="E38" s="21">
        <f t="shared" si="7"/>
        <v>1.0162014531884298</v>
      </c>
      <c r="F38" s="17">
        <f t="shared" si="8"/>
        <v>190.68275272659957</v>
      </c>
      <c r="G38" s="17">
        <f t="shared" si="9"/>
        <v>-2.6827527265995741</v>
      </c>
      <c r="H38" s="17">
        <f t="shared" si="10"/>
        <v>7.1971621920774496</v>
      </c>
      <c r="P38">
        <v>33</v>
      </c>
      <c r="Q38">
        <v>216</v>
      </c>
      <c r="R38">
        <f t="shared" si="0"/>
        <v>213.96798007817628</v>
      </c>
      <c r="S38">
        <f t="shared" si="1"/>
        <v>2.3152774188298451</v>
      </c>
      <c r="T38" s="33">
        <f t="shared" si="2"/>
        <v>210.33977737653564</v>
      </c>
      <c r="U38" s="33">
        <f t="shared" si="3"/>
        <v>5.6602226234643638</v>
      </c>
      <c r="V38" s="34">
        <f t="shared" si="4"/>
        <v>32.038120147177807</v>
      </c>
    </row>
    <row r="39" spans="1:22" x14ac:dyDescent="0.25">
      <c r="A39">
        <v>23</v>
      </c>
      <c r="B39">
        <v>200</v>
      </c>
      <c r="C39" s="17">
        <f t="shared" si="5"/>
        <v>189.75545229366247</v>
      </c>
      <c r="D39" s="17">
        <f t="shared" si="6"/>
        <v>2.0780809184606293</v>
      </c>
      <c r="E39" s="21">
        <f t="shared" si="7"/>
        <v>1.0480526558060541</v>
      </c>
      <c r="F39" s="17">
        <f t="shared" si="8"/>
        <v>196.8626900558551</v>
      </c>
      <c r="G39" s="17">
        <f t="shared" si="9"/>
        <v>3.1373099441449028</v>
      </c>
      <c r="H39" s="17">
        <f t="shared" si="10"/>
        <v>9.8427136856304926</v>
      </c>
      <c r="P39">
        <v>34</v>
      </c>
      <c r="Q39">
        <v>218</v>
      </c>
      <c r="R39">
        <f t="shared" si="0"/>
        <v>217.38368944142519</v>
      </c>
      <c r="S39">
        <f t="shared" si="1"/>
        <v>2.4253206132717517</v>
      </c>
      <c r="T39" s="33">
        <f t="shared" si="2"/>
        <v>216.28325749700613</v>
      </c>
      <c r="U39" s="33">
        <f t="shared" si="3"/>
        <v>1.716742502993867</v>
      </c>
      <c r="V39" s="34">
        <f t="shared" si="4"/>
        <v>2.9472048215856472</v>
      </c>
    </row>
    <row r="40" spans="1:22" x14ac:dyDescent="0.25">
      <c r="A40">
        <v>24</v>
      </c>
      <c r="B40">
        <v>229</v>
      </c>
      <c r="C40" s="17">
        <f t="shared" si="5"/>
        <v>190.78551556312482</v>
      </c>
      <c r="D40" s="17">
        <f t="shared" si="6"/>
        <v>1.9732791535608007</v>
      </c>
      <c r="E40" s="21">
        <f t="shared" si="7"/>
        <v>1.2040049076184032</v>
      </c>
      <c r="F40" s="17">
        <f t="shared" si="8"/>
        <v>230.96851543317416</v>
      </c>
      <c r="G40" s="17">
        <f t="shared" si="9"/>
        <v>-1.9685154331741614</v>
      </c>
      <c r="H40" s="17">
        <f t="shared" si="10"/>
        <v>3.8750530106448564</v>
      </c>
      <c r="P40">
        <v>35</v>
      </c>
      <c r="Q40">
        <v>264</v>
      </c>
      <c r="R40">
        <f t="shared" si="0"/>
        <v>248.13543460963621</v>
      </c>
      <c r="S40">
        <f t="shared" si="1"/>
        <v>5.2579630687656778</v>
      </c>
      <c r="T40" s="33">
        <f t="shared" si="2"/>
        <v>219.80901005469696</v>
      </c>
      <c r="U40" s="33">
        <f t="shared" si="3"/>
        <v>44.190989945303045</v>
      </c>
      <c r="V40" s="34">
        <f t="shared" si="4"/>
        <v>1952.8435923458749</v>
      </c>
    </row>
    <row r="41" spans="1:22" x14ac:dyDescent="0.25">
      <c r="A41">
        <v>25</v>
      </c>
      <c r="B41">
        <v>189</v>
      </c>
      <c r="C41" s="17">
        <f t="shared" si="5"/>
        <v>191.79189236402829</v>
      </c>
      <c r="D41" s="17">
        <f t="shared" si="6"/>
        <v>1.8765889182950661</v>
      </c>
      <c r="E41" s="21">
        <f t="shared" si="7"/>
        <v>0.98823339924446252</v>
      </c>
      <c r="F41" s="17">
        <f t="shared" si="8"/>
        <v>190.49067893713578</v>
      </c>
      <c r="G41" s="17">
        <f t="shared" si="9"/>
        <v>-1.4906789371357831</v>
      </c>
      <c r="H41" s="17">
        <f t="shared" si="10"/>
        <v>2.2221236936202682</v>
      </c>
      <c r="P41">
        <v>36</v>
      </c>
      <c r="Q41">
        <v>304</v>
      </c>
      <c r="R41">
        <f t="shared" si="0"/>
        <v>285.83222976654628</v>
      </c>
      <c r="S41">
        <f t="shared" si="1"/>
        <v>8.5018462775801158</v>
      </c>
      <c r="T41" s="33">
        <f t="shared" si="2"/>
        <v>253.3933976784019</v>
      </c>
      <c r="U41" s="33">
        <f t="shared" si="3"/>
        <v>50.606602321598103</v>
      </c>
      <c r="V41" s="34">
        <f t="shared" si="4"/>
        <v>2561.0281985363786</v>
      </c>
    </row>
    <row r="42" spans="1:22" x14ac:dyDescent="0.25">
      <c r="A42">
        <v>26</v>
      </c>
      <c r="B42">
        <v>218</v>
      </c>
      <c r="C42" s="17">
        <f t="shared" si="5"/>
        <v>203.96031103297142</v>
      </c>
      <c r="D42" s="17">
        <f t="shared" si="6"/>
        <v>2.9057718933598733</v>
      </c>
      <c r="E42" s="21">
        <f t="shared" si="7"/>
        <v>1.0394595142086607</v>
      </c>
      <c r="F42" s="17">
        <f t="shared" si="8"/>
        <v>201.31054547125291</v>
      </c>
      <c r="G42" s="17">
        <f t="shared" si="9"/>
        <v>16.689454528747092</v>
      </c>
      <c r="H42" s="17">
        <f t="shared" si="10"/>
        <v>278.53789246711682</v>
      </c>
      <c r="P42" s="4">
        <v>37</v>
      </c>
      <c r="Q42">
        <v>304</v>
      </c>
      <c r="R42">
        <f t="shared" si="0"/>
        <v>300.52993329984139</v>
      </c>
      <c r="S42">
        <f t="shared" si="1"/>
        <v>9.1214320031516145</v>
      </c>
      <c r="T42" s="33">
        <f t="shared" si="2"/>
        <v>294.33407604412639</v>
      </c>
      <c r="U42" s="33">
        <f t="shared" si="3"/>
        <v>9.665923955873609</v>
      </c>
      <c r="V42" s="34">
        <f t="shared" si="4"/>
        <v>93.430085920731315</v>
      </c>
    </row>
    <row r="43" spans="1:22" x14ac:dyDescent="0.25">
      <c r="A43">
        <v>27</v>
      </c>
      <c r="B43">
        <v>185</v>
      </c>
      <c r="C43" s="17">
        <f t="shared" si="5"/>
        <v>201.37476222677424</v>
      </c>
      <c r="D43" s="17">
        <f t="shared" si="6"/>
        <v>2.3566398234041657</v>
      </c>
      <c r="E43" s="21">
        <f t="shared" si="7"/>
        <v>0.93293329171244777</v>
      </c>
      <c r="F43" s="17">
        <f t="shared" si="8"/>
        <v>192.99225568812244</v>
      </c>
      <c r="G43" s="17">
        <f t="shared" si="9"/>
        <v>-7.9922556881224409</v>
      </c>
      <c r="H43" s="17">
        <f t="shared" si="10"/>
        <v>63.876150984325513</v>
      </c>
      <c r="P43" s="4">
        <v>38</v>
      </c>
      <c r="Q43">
        <v>304</v>
      </c>
      <c r="R43">
        <f t="shared" si="0"/>
        <v>306.02884014377446</v>
      </c>
      <c r="S43">
        <f t="shared" si="1"/>
        <v>8.7591794872297637</v>
      </c>
      <c r="T43" s="33">
        <f t="shared" si="2"/>
        <v>309.65136530299299</v>
      </c>
      <c r="U43" s="33">
        <f t="shared" si="3"/>
        <v>-5.6513653029929856</v>
      </c>
      <c r="V43" s="34">
        <f t="shared" si="4"/>
        <v>31.937929787872999</v>
      </c>
    </row>
    <row r="44" spans="1:22" x14ac:dyDescent="0.25">
      <c r="A44">
        <v>28</v>
      </c>
      <c r="B44">
        <v>199</v>
      </c>
      <c r="C44" s="17">
        <f t="shared" si="5"/>
        <v>212.91528412847336</v>
      </c>
      <c r="D44" s="17">
        <f t="shared" si="6"/>
        <v>3.2750280312336595</v>
      </c>
      <c r="E44" s="21">
        <f t="shared" si="7"/>
        <v>0.91259775591054715</v>
      </c>
      <c r="F44" s="17">
        <f t="shared" si="8"/>
        <v>185.92482031950226</v>
      </c>
      <c r="G44" s="17">
        <f t="shared" si="9"/>
        <v>13.07517968049774</v>
      </c>
      <c r="H44" s="17">
        <f t="shared" si="10"/>
        <v>170.96032367730098</v>
      </c>
      <c r="P44" s="4">
        <v>39</v>
      </c>
      <c r="Q44">
        <v>304</v>
      </c>
      <c r="R44">
        <f t="shared" si="0"/>
        <v>307.8728990475305</v>
      </c>
      <c r="S44">
        <f t="shared" si="1"/>
        <v>8.0676674288823946</v>
      </c>
      <c r="T44" s="33">
        <f t="shared" si="2"/>
        <v>314.7880196310042</v>
      </c>
      <c r="U44" s="33">
        <f t="shared" si="3"/>
        <v>-10.788019631004204</v>
      </c>
      <c r="V44" s="34">
        <f t="shared" si="4"/>
        <v>116.38136755893208</v>
      </c>
    </row>
    <row r="45" spans="1:22" x14ac:dyDescent="0.25">
      <c r="A45">
        <v>29</v>
      </c>
      <c r="B45">
        <v>210</v>
      </c>
      <c r="C45" s="17">
        <f t="shared" si="5"/>
        <v>206.67141253670405</v>
      </c>
      <c r="D45" s="17">
        <f t="shared" si="6"/>
        <v>2.3231380689333641</v>
      </c>
      <c r="E45" s="21">
        <f t="shared" si="7"/>
        <v>1.0430106047420362</v>
      </c>
      <c r="F45" s="17">
        <f t="shared" si="8"/>
        <v>225.4887882250656</v>
      </c>
      <c r="G45" s="17">
        <f t="shared" si="9"/>
        <v>-15.488788225065605</v>
      </c>
      <c r="H45" s="17">
        <f t="shared" si="10"/>
        <v>239.90256068093092</v>
      </c>
      <c r="P45" s="4">
        <v>40</v>
      </c>
      <c r="Q45">
        <v>304</v>
      </c>
      <c r="R45">
        <f t="shared" si="0"/>
        <v>308.28666336503221</v>
      </c>
      <c r="S45">
        <f t="shared" si="1"/>
        <v>7.30227711774433</v>
      </c>
      <c r="T45" s="33">
        <f t="shared" si="2"/>
        <v>315.94056647641287</v>
      </c>
      <c r="U45" s="33">
        <f t="shared" si="3"/>
        <v>-11.940566476412869</v>
      </c>
      <c r="V45" s="34">
        <f t="shared" si="4"/>
        <v>142.57712777763484</v>
      </c>
    </row>
    <row r="46" spans="1:22" x14ac:dyDescent="0.25">
      <c r="A46">
        <v>30</v>
      </c>
      <c r="B46">
        <v>193</v>
      </c>
      <c r="C46" s="17">
        <f t="shared" si="5"/>
        <v>211.51095687688539</v>
      </c>
      <c r="D46" s="17">
        <f t="shared" si="6"/>
        <v>2.5747786960581625</v>
      </c>
      <c r="E46" s="21">
        <f t="shared" si="7"/>
        <v>0.90644245153667458</v>
      </c>
      <c r="F46" s="17">
        <f t="shared" si="8"/>
        <v>189.44153280877958</v>
      </c>
      <c r="G46" s="17">
        <f t="shared" si="9"/>
        <v>3.5584671912204158</v>
      </c>
      <c r="H46" s="17">
        <f t="shared" si="10"/>
        <v>12.662688750992116</v>
      </c>
      <c r="K46">
        <f>C45+D45+C$2*(B46-(C45+D45) * E34) /E34</f>
        <v>211.51095687688539</v>
      </c>
      <c r="P46" s="4">
        <v>41</v>
      </c>
      <c r="Q46">
        <v>304</v>
      </c>
      <c r="R46">
        <f t="shared" si="0"/>
        <v>308.16042963331677</v>
      </c>
      <c r="S46">
        <f t="shared" si="1"/>
        <v>6.5594260327983545</v>
      </c>
      <c r="T46" s="33">
        <f t="shared" si="2"/>
        <v>315.58894048277654</v>
      </c>
      <c r="U46" s="33">
        <f t="shared" si="3"/>
        <v>-11.588940482776536</v>
      </c>
      <c r="V46" s="34">
        <f t="shared" si="4"/>
        <v>134.30354151333685</v>
      </c>
    </row>
    <row r="47" spans="1:22" x14ac:dyDescent="0.25">
      <c r="A47">
        <v>31</v>
      </c>
      <c r="B47">
        <v>211</v>
      </c>
      <c r="C47" s="17">
        <f t="shared" si="5"/>
        <v>223.73501423430292</v>
      </c>
      <c r="D47" s="17">
        <f t="shared" si="6"/>
        <v>3.5397065621941004</v>
      </c>
      <c r="E47" s="21">
        <f t="shared" si="7"/>
        <v>0.92083758937691518</v>
      </c>
      <c r="F47" s="17">
        <f t="shared" si="8"/>
        <v>197.13819266497305</v>
      </c>
      <c r="G47" s="17">
        <f t="shared" si="9"/>
        <v>13.861807335026953</v>
      </c>
      <c r="H47" s="17">
        <f t="shared" si="10"/>
        <v>192.14970259340703</v>
      </c>
      <c r="K47">
        <f t="shared" ref="K47:K50" si="11">C46+D46+C$2*(B47-(C46+D46) * E35) /E35</f>
        <v>223.73501423430292</v>
      </c>
      <c r="P47" s="4">
        <v>42</v>
      </c>
      <c r="Q47">
        <v>304</v>
      </c>
      <c r="R47">
        <f t="shared" si="0"/>
        <v>307.84842818413534</v>
      </c>
      <c r="S47">
        <f t="shared" si="1"/>
        <v>5.8722832846003756</v>
      </c>
      <c r="T47" s="33">
        <f t="shared" si="2"/>
        <v>314.71985566611511</v>
      </c>
      <c r="U47" s="33">
        <f t="shared" si="3"/>
        <v>-10.719855666115109</v>
      </c>
      <c r="V47" s="34">
        <f t="shared" si="4"/>
        <v>114.9153055023402</v>
      </c>
    </row>
    <row r="48" spans="1:22" x14ac:dyDescent="0.25">
      <c r="A48">
        <v>32</v>
      </c>
      <c r="B48">
        <v>208</v>
      </c>
      <c r="C48" s="17">
        <f t="shared" si="5"/>
        <v>225.47786099936602</v>
      </c>
      <c r="D48" s="17">
        <f t="shared" si="6"/>
        <v>3.3600205824809981</v>
      </c>
      <c r="E48" s="21">
        <f t="shared" si="7"/>
        <v>0.92662094367181047</v>
      </c>
      <c r="F48" s="17">
        <f t="shared" si="8"/>
        <v>210.59751625719733</v>
      </c>
      <c r="G48" s="17">
        <f t="shared" si="9"/>
        <v>-2.5975162571973271</v>
      </c>
      <c r="H48" s="17">
        <f t="shared" si="10"/>
        <v>6.7470907064044114</v>
      </c>
      <c r="K48">
        <f t="shared" si="11"/>
        <v>225.47786099936602</v>
      </c>
      <c r="P48" s="4">
        <v>43</v>
      </c>
      <c r="Q48">
        <v>304</v>
      </c>
      <c r="R48">
        <f t="shared" si="0"/>
        <v>307.48973541727611</v>
      </c>
      <c r="S48">
        <f t="shared" si="1"/>
        <v>5.2491856794544161</v>
      </c>
      <c r="T48" s="33">
        <f t="shared" si="2"/>
        <v>313.72071146873571</v>
      </c>
      <c r="U48" s="33">
        <f t="shared" si="3"/>
        <v>-9.7207114687357148</v>
      </c>
      <c r="V48" s="34">
        <f t="shared" si="4"/>
        <v>94.49223145841006</v>
      </c>
    </row>
    <row r="49" spans="1:22" x14ac:dyDescent="0.25">
      <c r="A49">
        <v>33</v>
      </c>
      <c r="B49">
        <v>216</v>
      </c>
      <c r="C49" s="17">
        <f t="shared" si="5"/>
        <v>222.22087761373609</v>
      </c>
      <c r="D49" s="17">
        <f t="shared" si="6"/>
        <v>2.6983201856699086</v>
      </c>
      <c r="E49" s="21">
        <f t="shared" si="7"/>
        <v>0.98849075287229571</v>
      </c>
      <c r="F49" s="17">
        <f t="shared" si="8"/>
        <v>226.20412985054119</v>
      </c>
      <c r="G49" s="17">
        <f t="shared" si="9"/>
        <v>-10.204129850541193</v>
      </c>
      <c r="H49" s="17">
        <f t="shared" si="10"/>
        <v>104.12426600670582</v>
      </c>
      <c r="K49">
        <f t="shared" si="11"/>
        <v>222.22087761373609</v>
      </c>
      <c r="P49" s="4">
        <v>44</v>
      </c>
      <c r="Q49">
        <v>304</v>
      </c>
      <c r="R49">
        <f t="shared" si="0"/>
        <v>307.13727267372627</v>
      </c>
      <c r="S49">
        <f t="shared" si="1"/>
        <v>4.6890208371539908</v>
      </c>
      <c r="T49" s="33">
        <f t="shared" si="2"/>
        <v>312.73892109673051</v>
      </c>
      <c r="U49" s="33">
        <f t="shared" si="3"/>
        <v>-8.7389210967305075</v>
      </c>
      <c r="V49" s="34">
        <f t="shared" si="4"/>
        <v>76.368741934881541</v>
      </c>
    </row>
    <row r="50" spans="1:22" x14ac:dyDescent="0.25">
      <c r="A50">
        <v>34</v>
      </c>
      <c r="B50">
        <v>218</v>
      </c>
      <c r="C50" s="17">
        <f t="shared" si="5"/>
        <v>218.25612797914778</v>
      </c>
      <c r="D50" s="17">
        <f t="shared" si="6"/>
        <v>2.032013203644087</v>
      </c>
      <c r="E50" s="21">
        <f t="shared" si="7"/>
        <v>1.0162014531884298</v>
      </c>
      <c r="F50" s="17">
        <f t="shared" si="8"/>
        <v>228.56321565373224</v>
      </c>
      <c r="G50" s="17">
        <f t="shared" si="9"/>
        <v>-10.563215653732243</v>
      </c>
      <c r="H50" s="17">
        <f t="shared" si="10"/>
        <v>111.5815249472539</v>
      </c>
      <c r="K50">
        <f t="shared" si="11"/>
        <v>218.25612797914778</v>
      </c>
      <c r="P50" s="4">
        <v>45</v>
      </c>
      <c r="Q50">
        <v>304</v>
      </c>
      <c r="R50">
        <f t="shared" si="0"/>
        <v>306.80963937040599</v>
      </c>
      <c r="S50">
        <f t="shared" si="1"/>
        <v>4.1873554231065668</v>
      </c>
      <c r="T50" s="33">
        <f t="shared" si="2"/>
        <v>311.82629351088025</v>
      </c>
      <c r="U50" s="33">
        <f t="shared" si="3"/>
        <v>-7.826293510880248</v>
      </c>
      <c r="V50" s="34">
        <f t="shared" si="4"/>
        <v>61.250870118446279</v>
      </c>
    </row>
    <row r="51" spans="1:22" x14ac:dyDescent="0.25">
      <c r="A51">
        <v>35</v>
      </c>
      <c r="B51">
        <v>264</v>
      </c>
      <c r="C51" s="17">
        <f t="shared" si="5"/>
        <v>240.54861245688943</v>
      </c>
      <c r="D51" s="17">
        <f t="shared" si="6"/>
        <v>4.058060331053845</v>
      </c>
      <c r="E51" s="21">
        <f t="shared" si="7"/>
        <v>1.0480526558060541</v>
      </c>
      <c r="F51" s="17">
        <f t="shared" si="8"/>
        <v>230.873571409204</v>
      </c>
      <c r="G51" s="17">
        <f t="shared" si="9"/>
        <v>33.126428590795996</v>
      </c>
      <c r="H51" s="17">
        <f t="shared" si="10"/>
        <v>1097.3602711811063</v>
      </c>
      <c r="K51">
        <f>C50+D50+C$2*(B51-(C50+D50) * E39) /E39</f>
        <v>240.54861245688943</v>
      </c>
      <c r="P51" s="4">
        <v>46</v>
      </c>
      <c r="Q51">
        <v>304</v>
      </c>
      <c r="R51">
        <f t="shared" si="0"/>
        <v>306.51192113087103</v>
      </c>
      <c r="S51">
        <f t="shared" si="1"/>
        <v>3.7388480568424121</v>
      </c>
      <c r="T51" s="33">
        <f t="shared" si="2"/>
        <v>310.99699479351256</v>
      </c>
      <c r="U51" s="33">
        <f t="shared" si="3"/>
        <v>-6.996994793512556</v>
      </c>
      <c r="V51" s="34">
        <f t="shared" si="4"/>
        <v>48.957936140441817</v>
      </c>
    </row>
    <row r="52" spans="1:22" x14ac:dyDescent="0.25">
      <c r="A52">
        <v>36</v>
      </c>
      <c r="B52">
        <v>304</v>
      </c>
      <c r="C52" s="17">
        <f t="shared" si="5"/>
        <v>249.66031190882654</v>
      </c>
      <c r="D52" s="17">
        <f t="shared" si="6"/>
        <v>4.5634242431421734</v>
      </c>
      <c r="E52" s="21">
        <f>E40+E$2*(1-C$2)*G52/(C51+D51)</f>
        <v>1.2040049076184032</v>
      </c>
      <c r="F52" s="17">
        <f t="shared" si="8"/>
        <v>294.50763447289262</v>
      </c>
      <c r="G52" s="17">
        <f t="shared" si="9"/>
        <v>9.4923655271073812</v>
      </c>
      <c r="H52" s="17">
        <f t="shared" si="10"/>
        <v>90.105003300216595</v>
      </c>
      <c r="K52">
        <f>C51+D51+C$2*(B52-(C51+D51) * E40) /E40</f>
        <v>249.66031190882654</v>
      </c>
      <c r="P52" s="4">
        <v>47</v>
      </c>
      <c r="Q52">
        <v>304</v>
      </c>
      <c r="R52">
        <f t="shared" si="0"/>
        <v>306.24402613838913</v>
      </c>
      <c r="S52">
        <f t="shared" si="1"/>
        <v>3.3381737519099803</v>
      </c>
      <c r="T52" s="33">
        <f t="shared" si="2"/>
        <v>310.25076918771344</v>
      </c>
      <c r="U52" s="33">
        <f t="shared" si="3"/>
        <v>-6.2507691877134448</v>
      </c>
      <c r="V52" s="34">
        <f t="shared" si="4"/>
        <v>39.072115438067797</v>
      </c>
    </row>
    <row r="53" spans="1:22" x14ac:dyDescent="0.25">
      <c r="A53" s="4">
        <v>37</v>
      </c>
      <c r="B53" s="9">
        <f>(C$52+(A53-A$52)*D$52)*E41</f>
        <v>251.23238694608742</v>
      </c>
      <c r="C53" s="4"/>
      <c r="D53" s="4"/>
      <c r="E53" s="4"/>
      <c r="F53" s="4"/>
      <c r="G53" s="4"/>
      <c r="H53" s="4"/>
      <c r="K53">
        <f>C52+D52+C$2*(B53-(C52+D52) * E41) /E41</f>
        <v>254.22373615196872</v>
      </c>
      <c r="P53" s="4">
        <v>48</v>
      </c>
      <c r="Q53">
        <v>304</v>
      </c>
      <c r="R53">
        <f t="shared" si="0"/>
        <v>306.00400976061741</v>
      </c>
      <c r="S53">
        <f t="shared" si="1"/>
        <v>2.9803547389418057</v>
      </c>
      <c r="T53" s="33">
        <f t="shared" si="2"/>
        <v>309.58219989029914</v>
      </c>
      <c r="U53" s="33">
        <f t="shared" si="3"/>
        <v>-5.5821998902991368</v>
      </c>
      <c r="V53" s="34">
        <f t="shared" si="4"/>
        <v>31.160955615255695</v>
      </c>
    </row>
    <row r="54" spans="1:22" x14ac:dyDescent="0.25">
      <c r="A54" s="4">
        <v>38</v>
      </c>
      <c r="B54" s="9">
        <f t="shared" ref="B54:B64" si="12">(C$52+(A54-A$52)*D$52)*E42</f>
        <v>268.99877602774075</v>
      </c>
      <c r="C54" s="4"/>
      <c r="D54" s="4"/>
      <c r="E54" s="4"/>
      <c r="F54" s="4"/>
      <c r="G54" s="4"/>
      <c r="H54" s="4"/>
      <c r="K54">
        <f>C52+D52</f>
        <v>254.22373615196872</v>
      </c>
      <c r="L54" s="2">
        <f>B53-K54</f>
        <v>-2.9913492058813063</v>
      </c>
      <c r="M54">
        <f>C52+D52+(C2*L54)</f>
        <v>252.3062813109988</v>
      </c>
      <c r="N54">
        <f>D52+(C2*D2*L54)</f>
        <v>4.3716787590451816</v>
      </c>
    </row>
    <row r="55" spans="1:22" x14ac:dyDescent="0.25">
      <c r="A55" s="4">
        <v>39</v>
      </c>
      <c r="B55" s="9">
        <f t="shared" si="12"/>
        <v>245.68852780096299</v>
      </c>
      <c r="C55" s="4"/>
      <c r="D55" s="4"/>
      <c r="E55" s="4"/>
      <c r="F55" s="4"/>
      <c r="G55" s="4"/>
      <c r="H55" s="4"/>
    </row>
    <row r="56" spans="1:22" x14ac:dyDescent="0.25">
      <c r="A56" s="4">
        <v>40</v>
      </c>
      <c r="B56" s="9">
        <f t="shared" si="12"/>
        <v>244.49772328215971</v>
      </c>
      <c r="C56" s="4"/>
      <c r="D56" s="4"/>
      <c r="E56" s="4"/>
      <c r="F56" s="4"/>
      <c r="G56" s="4"/>
      <c r="H56" s="4"/>
    </row>
    <row r="57" spans="1:22" x14ac:dyDescent="0.25">
      <c r="A57" s="4">
        <v>41</v>
      </c>
      <c r="B57" s="9">
        <f t="shared" si="12"/>
        <v>284.19685230178152</v>
      </c>
      <c r="C57" s="4"/>
      <c r="D57" s="4"/>
      <c r="E57" s="4"/>
      <c r="F57" s="4"/>
      <c r="G57" s="4"/>
      <c r="H57" s="4"/>
    </row>
    <row r="58" spans="1:22" x14ac:dyDescent="0.25">
      <c r="A58" s="4">
        <v>42</v>
      </c>
      <c r="B58" s="9">
        <f t="shared" si="12"/>
        <v>251.12159392818165</v>
      </c>
      <c r="C58" s="4"/>
      <c r="D58" s="4"/>
      <c r="E58" s="4"/>
      <c r="F58" s="4"/>
      <c r="G58" s="4"/>
      <c r="H58" s="4"/>
    </row>
    <row r="59" spans="1:22" x14ac:dyDescent="0.25">
      <c r="A59" s="4">
        <v>43</v>
      </c>
      <c r="B59" s="9">
        <f t="shared" si="12"/>
        <v>259.3118078367271</v>
      </c>
      <c r="C59" s="4"/>
      <c r="D59" s="4"/>
      <c r="E59" s="4"/>
      <c r="F59" s="4"/>
      <c r="G59" s="4"/>
      <c r="H59" s="4"/>
    </row>
    <row r="60" spans="1:22" x14ac:dyDescent="0.25">
      <c r="A60" s="4">
        <v>44</v>
      </c>
      <c r="B60" s="9">
        <f t="shared" si="12"/>
        <v>265.16898964679712</v>
      </c>
      <c r="C60" s="4"/>
      <c r="D60" s="4"/>
      <c r="E60" s="4"/>
      <c r="F60" s="4"/>
      <c r="G60" s="4"/>
      <c r="H60" s="4"/>
    </row>
    <row r="61" spans="1:22" x14ac:dyDescent="0.25">
      <c r="A61" s="4">
        <v>45</v>
      </c>
      <c r="B61" s="9">
        <f t="shared" si="12"/>
        <v>287.38503367310176</v>
      </c>
      <c r="C61" s="4"/>
      <c r="D61" s="4"/>
      <c r="E61" s="4"/>
      <c r="F61" s="4"/>
      <c r="G61" s="4"/>
      <c r="H61" s="4"/>
    </row>
    <row r="62" spans="1:22" x14ac:dyDescent="0.25">
      <c r="A62" s="4">
        <v>46</v>
      </c>
      <c r="B62" s="9">
        <f t="shared" si="12"/>
        <v>300.07875523919006</v>
      </c>
      <c r="C62" s="4"/>
      <c r="D62" s="4"/>
      <c r="E62" s="4"/>
      <c r="F62" s="4"/>
      <c r="G62" s="4"/>
      <c r="H62" s="4"/>
    </row>
    <row r="63" spans="1:22" x14ac:dyDescent="0.25">
      <c r="A63" s="4">
        <v>47</v>
      </c>
      <c r="B63" s="9">
        <f t="shared" si="12"/>
        <v>314.26695081895724</v>
      </c>
      <c r="C63" s="4"/>
      <c r="D63" s="4"/>
      <c r="E63" s="4"/>
      <c r="F63" s="4"/>
      <c r="G63" s="4"/>
      <c r="H63" s="4"/>
    </row>
    <row r="64" spans="1:22" x14ac:dyDescent="0.25">
      <c r="A64" s="4">
        <v>48</v>
      </c>
      <c r="B64" s="9">
        <f t="shared" si="12"/>
        <v>366.52486298722414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2">
        <f ca="1">F53+G53</f>
        <v>244.57333618350688</v>
      </c>
      <c r="C53" s="20">
        <f t="shared" ref="C53:C64" ca="1" si="6">C52+D52+C$2*G53/E41</f>
        <v>248.06489295077333</v>
      </c>
      <c r="D53" s="20">
        <f t="shared" ref="D53:D64" ca="1" si="7">D52+D$2*C$2*G53/E41</f>
        <v>5.1544014839125403</v>
      </c>
      <c r="E53" s="20">
        <f t="shared" ca="1" si="2"/>
        <v>0.98823339924446252</v>
      </c>
      <c r="F53" s="20">
        <f t="shared" ref="F53:F64" si="8">(C52+D52)*E41</f>
        <v>245.39994178468311</v>
      </c>
      <c r="G53" s="4">
        <f t="shared" ref="G53:G64" ca="1" si="9">NORMINV(RAND(),0,H$2)</f>
        <v>-0.82660560117623338</v>
      </c>
      <c r="H53" s="4"/>
    </row>
    <row r="54" spans="1:8" x14ac:dyDescent="0.25">
      <c r="A54" s="4">
        <v>38</v>
      </c>
      <c r="B54" s="22">
        <f t="shared" ref="B54:B64" ca="1" si="10">F54+G54</f>
        <v>276.37893732898056</v>
      </c>
      <c r="C54" s="20">
        <f t="shared" ca="1" si="6"/>
        <v>257.11080348723289</v>
      </c>
      <c r="D54" s="20">
        <f t="shared" ca="1" si="7"/>
        <v>6.0437861618824549</v>
      </c>
      <c r="E54" s="20">
        <f t="shared" ca="1" si="2"/>
        <v>1.0394595142086607</v>
      </c>
      <c r="F54" s="20">
        <f t="shared" ca="1" si="8"/>
        <v>263.21120478133838</v>
      </c>
      <c r="G54" s="4">
        <f t="shared" ca="1" si="9"/>
        <v>13.167732547642157</v>
      </c>
      <c r="H54" s="4"/>
    </row>
    <row r="55" spans="1:8" x14ac:dyDescent="0.25">
      <c r="A55" s="4">
        <v>39</v>
      </c>
      <c r="B55" s="22">
        <f t="shared" ca="1" si="10"/>
        <v>249.6343325213607</v>
      </c>
      <c r="C55" s="20">
        <f t="shared" ca="1" si="6"/>
        <v>264.51406903406456</v>
      </c>
      <c r="D55" s="20">
        <f t="shared" ca="1" si="7"/>
        <v>6.3544882876293878</v>
      </c>
      <c r="E55" s="20">
        <f t="shared" ca="1" si="2"/>
        <v>0.93293329171244777</v>
      </c>
      <c r="F55" s="20">
        <f t="shared" ca="1" si="8"/>
        <v>245.50567755058759</v>
      </c>
      <c r="G55" s="4">
        <f t="shared" ca="1" si="9"/>
        <v>4.1286549707730984</v>
      </c>
      <c r="H55" s="4"/>
    </row>
    <row r="56" spans="1:8" x14ac:dyDescent="0.25">
      <c r="A56" s="4">
        <v>40</v>
      </c>
      <c r="B56" s="22">
        <f t="shared" ca="1" si="10"/>
        <v>253.91034168428646</v>
      </c>
      <c r="C56" s="20">
        <f t="shared" ca="1" si="6"/>
        <v>273.1293752259387</v>
      </c>
      <c r="D56" s="20">
        <f t="shared" ca="1" si="7"/>
        <v>6.8711867654086678</v>
      </c>
      <c r="E56" s="20">
        <f t="shared" ca="1" si="2"/>
        <v>0.91259775591054715</v>
      </c>
      <c r="F56" s="20">
        <f t="shared" ca="1" si="8"/>
        <v>247.19403755850533</v>
      </c>
      <c r="G56" s="4">
        <f t="shared" ca="1" si="9"/>
        <v>6.7163041257811367</v>
      </c>
      <c r="H56" s="4"/>
    </row>
    <row r="57" spans="1:8" x14ac:dyDescent="0.25">
      <c r="A57" s="4">
        <v>41</v>
      </c>
      <c r="B57" s="22">
        <f t="shared" ca="1" si="10"/>
        <v>293.11855760489539</v>
      </c>
      <c r="C57" s="20">
        <f t="shared" ca="1" si="6"/>
        <v>280.31717971422063</v>
      </c>
      <c r="D57" s="20">
        <f t="shared" ca="1" si="7"/>
        <v>6.9435481418553948</v>
      </c>
      <c r="E57" s="20">
        <f t="shared" ca="1" si="2"/>
        <v>1.0430106047420362</v>
      </c>
      <c r="F57" s="20">
        <f t="shared" ca="1" si="8"/>
        <v>292.04355549070522</v>
      </c>
      <c r="G57" s="4">
        <f t="shared" ca="1" si="9"/>
        <v>1.0750021141901929</v>
      </c>
      <c r="H57" s="4"/>
    </row>
    <row r="58" spans="1:8" x14ac:dyDescent="0.25">
      <c r="A58" s="4">
        <v>42</v>
      </c>
      <c r="B58" s="22">
        <f t="shared" ca="1" si="10"/>
        <v>254.75583969677464</v>
      </c>
      <c r="C58" s="20">
        <f t="shared" ca="1" si="6"/>
        <v>285.35288513371512</v>
      </c>
      <c r="D58" s="20">
        <f t="shared" ca="1" si="7"/>
        <v>6.5075203535778243</v>
      </c>
      <c r="E58" s="20">
        <f t="shared" ca="1" si="2"/>
        <v>0.90644245153667458</v>
      </c>
      <c r="F58" s="20">
        <f t="shared" ca="1" si="8"/>
        <v>260.38531838807103</v>
      </c>
      <c r="G58" s="4">
        <f t="shared" ca="1" si="9"/>
        <v>-5.6294786912963888</v>
      </c>
      <c r="H58" s="4"/>
    </row>
    <row r="59" spans="1:8" x14ac:dyDescent="0.25">
      <c r="A59" s="4">
        <v>43</v>
      </c>
      <c r="B59" s="22">
        <f t="shared" ca="1" si="10"/>
        <v>248.05780973804301</v>
      </c>
      <c r="C59" s="20">
        <f t="shared" ca="1" si="6"/>
        <v>284.9553902946771</v>
      </c>
      <c r="D59" s="20">
        <f t="shared" ca="1" si="7"/>
        <v>4.9294141149600357</v>
      </c>
      <c r="E59" s="20">
        <f t="shared" ca="1" si="2"/>
        <v>0.92083758937691518</v>
      </c>
      <c r="F59" s="20">
        <f t="shared" ca="1" si="8"/>
        <v>268.75603222348781</v>
      </c>
      <c r="G59" s="4">
        <f t="shared" ca="1" si="9"/>
        <v>-20.698222485444806</v>
      </c>
      <c r="H59" s="4"/>
    </row>
    <row r="60" spans="1:8" x14ac:dyDescent="0.25">
      <c r="A60" s="4">
        <v>44</v>
      </c>
      <c r="B60" s="22">
        <f t="shared" ca="1" si="10"/>
        <v>253.41738894391011</v>
      </c>
      <c r="C60" s="20">
        <f t="shared" ca="1" si="6"/>
        <v>284.84701343234877</v>
      </c>
      <c r="D60" s="20">
        <f t="shared" ca="1" si="7"/>
        <v>3.7780525106274396</v>
      </c>
      <c r="E60" s="20">
        <f t="shared" ca="1" si="2"/>
        <v>0.92662094367181047</v>
      </c>
      <c r="F60" s="20">
        <f t="shared" ca="1" si="8"/>
        <v>268.61333101817615</v>
      </c>
      <c r="G60" s="4">
        <f t="shared" ca="1" si="9"/>
        <v>-15.195942074266036</v>
      </c>
      <c r="H60" s="4"/>
    </row>
    <row r="61" spans="1:8" x14ac:dyDescent="0.25">
      <c r="A61" s="4">
        <v>45</v>
      </c>
      <c r="B61" s="22">
        <f t="shared" ca="1" si="10"/>
        <v>307.75741584274994</v>
      </c>
      <c r="C61" s="20">
        <f t="shared" ca="1" si="6"/>
        <v>295.60320693510329</v>
      </c>
      <c r="D61" s="20">
        <f t="shared" ca="1" si="7"/>
        <v>5.3728712802380514</v>
      </c>
      <c r="E61" s="20">
        <f t="shared" ca="1" si="2"/>
        <v>0.98849075287229571</v>
      </c>
      <c r="F61" s="20">
        <f t="shared" ca="1" si="8"/>
        <v>285.30320873178857</v>
      </c>
      <c r="G61" s="4">
        <f t="shared" ca="1" si="9"/>
        <v>22.454207110961388</v>
      </c>
      <c r="H61" s="4"/>
    </row>
    <row r="62" spans="1:8" x14ac:dyDescent="0.25">
      <c r="A62" s="4">
        <v>46</v>
      </c>
      <c r="B62" s="22">
        <f t="shared" ca="1" si="10"/>
        <v>311.68606107832562</v>
      </c>
      <c r="C62" s="20">
        <f t="shared" ca="1" si="6"/>
        <v>302.73960217756661</v>
      </c>
      <c r="D62" s="20">
        <f t="shared" ca="1" si="7"/>
        <v>5.7759157470649782</v>
      </c>
      <c r="E62" s="20">
        <f t="shared" ca="1" si="2"/>
        <v>1.0162014531884298</v>
      </c>
      <c r="F62" s="20">
        <f t="shared" ca="1" si="8"/>
        <v>305.85232805738434</v>
      </c>
      <c r="G62" s="4">
        <f t="shared" ca="1" si="9"/>
        <v>5.8337330209412865</v>
      </c>
      <c r="H62" s="4"/>
    </row>
    <row r="63" spans="1:8" x14ac:dyDescent="0.25">
      <c r="A63" s="4">
        <v>47</v>
      </c>
      <c r="B63" s="22">
        <f t="shared" ca="1" si="10"/>
        <v>336.27674344466669</v>
      </c>
      <c r="C63" s="20">
        <f t="shared" ca="1" si="6"/>
        <v>312.3072656775326</v>
      </c>
      <c r="D63" s="20">
        <f t="shared" ca="1" si="7"/>
        <v>6.642500485432687</v>
      </c>
      <c r="E63" s="20">
        <f t="shared" ca="1" si="2"/>
        <v>1.0480526558060541</v>
      </c>
      <c r="F63" s="20">
        <f t="shared" ca="1" si="8"/>
        <v>323.34050791829043</v>
      </c>
      <c r="G63" s="4">
        <f t="shared" ca="1" si="9"/>
        <v>12.936235526376258</v>
      </c>
      <c r="H63" s="4"/>
    </row>
    <row r="64" spans="1:8" x14ac:dyDescent="0.25">
      <c r="A64" s="4">
        <v>48</v>
      </c>
      <c r="B64" s="22">
        <f t="shared" ca="1" si="10"/>
        <v>387.31423487938952</v>
      </c>
      <c r="C64" s="20">
        <f t="shared" ca="1" si="6"/>
        <v>319.79101644837533</v>
      </c>
      <c r="D64" s="20">
        <f t="shared" ca="1" si="7"/>
        <v>6.834763976042284</v>
      </c>
      <c r="E64" s="20">
        <f t="shared" ca="1" si="2"/>
        <v>1.2040049076184032</v>
      </c>
      <c r="F64" s="20">
        <f t="shared" ca="1" si="8"/>
        <v>384.0170837439523</v>
      </c>
      <c r="G64" s="4">
        <f t="shared" ca="1" si="9"/>
        <v>3.2971511354372307</v>
      </c>
      <c r="H64" s="4"/>
    </row>
    <row r="65" spans="1:12" x14ac:dyDescent="0.25">
      <c r="B65" s="17"/>
      <c r="C65" s="17"/>
      <c r="D65" s="17"/>
      <c r="E65" s="17"/>
      <c r="F65" s="17"/>
    </row>
    <row r="66" spans="1:12" x14ac:dyDescent="0.25">
      <c r="A66" s="17">
        <f t="shared" ref="A66:L66" si="11">PERCENTILE(A71:A1070,0.975)</f>
        <v>263.59245750561206</v>
      </c>
      <c r="B66" s="17">
        <f t="shared" si="11"/>
        <v>284.284801306921</v>
      </c>
      <c r="C66" s="17">
        <f t="shared" si="11"/>
        <v>264.70011181000552</v>
      </c>
      <c r="D66" s="17">
        <f t="shared" si="11"/>
        <v>266.19742620443674</v>
      </c>
      <c r="E66" s="17">
        <f t="shared" si="11"/>
        <v>309.37897767414205</v>
      </c>
      <c r="F66" s="17">
        <f t="shared" si="11"/>
        <v>279.54575840041991</v>
      </c>
      <c r="G66" s="17">
        <f t="shared" si="11"/>
        <v>291.2321275881547</v>
      </c>
      <c r="H66" s="17">
        <f t="shared" si="11"/>
        <v>300.17027822551393</v>
      </c>
      <c r="I66" s="17">
        <f t="shared" si="11"/>
        <v>326.65430029243771</v>
      </c>
      <c r="J66" s="17">
        <f t="shared" si="11"/>
        <v>348.2146780049311</v>
      </c>
      <c r="K66" s="17">
        <f t="shared" si="11"/>
        <v>370.74384800556328</v>
      </c>
      <c r="L66" s="17">
        <f t="shared" si="11"/>
        <v>436.81685648284679</v>
      </c>
    </row>
    <row r="67" spans="1:12" x14ac:dyDescent="0.25">
      <c r="A67" s="17">
        <f t="shared" ref="A67:L67" si="12">PERCENTILE(A71:A1070,0.025)</f>
        <v>223.96016591362732</v>
      </c>
      <c r="B67" s="17">
        <f t="shared" si="12"/>
        <v>240.79282637587986</v>
      </c>
      <c r="C67" s="17">
        <f t="shared" si="12"/>
        <v>218.67648164320588</v>
      </c>
      <c r="D67" s="17">
        <f t="shared" si="12"/>
        <v>216.81984892572046</v>
      </c>
      <c r="E67" s="17">
        <f t="shared" si="12"/>
        <v>251.66146193030249</v>
      </c>
      <c r="F67" s="17">
        <f t="shared" si="12"/>
        <v>220.2130080085208</v>
      </c>
      <c r="G67" s="17">
        <f t="shared" si="12"/>
        <v>224.33027669983619</v>
      </c>
      <c r="H67" s="17">
        <f t="shared" si="12"/>
        <v>230.7294852765398</v>
      </c>
      <c r="I67" s="17">
        <f t="shared" si="12"/>
        <v>243.52656472343065</v>
      </c>
      <c r="J67" s="17">
        <f t="shared" si="12"/>
        <v>254.12894070199349</v>
      </c>
      <c r="K67" s="17">
        <f t="shared" si="12"/>
        <v>263.29319999064705</v>
      </c>
      <c r="L67" s="17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Stefan</cp:lastModifiedBy>
  <dcterms:created xsi:type="dcterms:W3CDTF">2013-04-01T16:41:05Z</dcterms:created>
  <dcterms:modified xsi:type="dcterms:W3CDTF">2020-03-05T22:49:52Z</dcterms:modified>
</cp:coreProperties>
</file>